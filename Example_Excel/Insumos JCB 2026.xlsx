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drawings/drawing14.xml" ContentType="application/vnd.openxmlformats-officedocument.drawing+xml"/>
  <Override PartName="/xl/comments5.xml" ContentType="application/vnd.openxmlformats-officedocument.spreadsheetml.comment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omments7.xml" ContentType="application/vnd.openxmlformats-officedocument.spreadsheetml.comments+xml"/>
  <Override PartName="/xl/drawings/drawing17.xml" ContentType="application/vnd.openxmlformats-officedocument.drawing+xml"/>
  <Override PartName="/xl/comments8.xml" ContentType="application/vnd.openxmlformats-officedocument.spreadsheetml.comments+xml"/>
  <Override PartName="/xl/drawings/drawing18.xml" ContentType="application/vnd.openxmlformats-officedocument.drawing+xml"/>
  <Override PartName="/xl/comments9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0.xml" ContentType="application/vnd.openxmlformats-officedocument.spreadsheetml.comments+xml"/>
  <Override PartName="/xl/drawings/drawing22.xml" ContentType="application/vnd.openxmlformats-officedocument.drawing+xml"/>
  <Override PartName="/xl/comments11.xml" ContentType="application/vnd.openxmlformats-officedocument.spreadsheetml.comment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drawings/drawing24.xml" ContentType="application/vnd.openxmlformats-officedocument.drawing+xml"/>
  <Override PartName="/xl/comments13.xml" ContentType="application/vnd.openxmlformats-officedocument.spreadsheetml.comments+xml"/>
  <Override PartName="/xl/drawings/drawing25.xml" ContentType="application/vnd.openxmlformats-officedocument.drawing+xml"/>
  <Override PartName="/xl/comments14.xml" ContentType="application/vnd.openxmlformats-officedocument.spreadsheetml.comments+xml"/>
  <Override PartName="/xl/drawings/drawing26.xml" ContentType="application/vnd.openxmlformats-officedocument.drawing+xml"/>
  <Override PartName="/xl/comments15.xml" ContentType="application/vnd.openxmlformats-officedocument.spreadsheetml.comments+xml"/>
  <Override PartName="/xl/drawings/drawing27.xml" ContentType="application/vnd.openxmlformats-officedocument.drawing+xml"/>
  <Override PartName="/xl/comments16.xml" ContentType="application/vnd.openxmlformats-officedocument.spreadsheetml.comments+xml"/>
  <Override PartName="/xl/drawings/drawing28.xml" ContentType="application/vnd.openxmlformats-officedocument.drawing+xml"/>
  <Override PartName="/xl/comments17.xml" ContentType="application/vnd.openxmlformats-officedocument.spreadsheetml.comments+xml"/>
  <Override PartName="/xl/drawings/drawing29.xml" ContentType="application/vnd.openxmlformats-officedocument.drawing+xml"/>
  <Override PartName="/xl/comments18.xml" ContentType="application/vnd.openxmlformats-officedocument.spreadsheetml.comments+xml"/>
  <Override PartName="/xl/drawings/drawing30.xml" ContentType="application/vnd.openxmlformats-officedocument.drawing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ce4f7b846dc2a2/Escritorio/Proyectos/AMC_LoadExcel/Example_Excel/"/>
    </mc:Choice>
  </mc:AlternateContent>
  <xr:revisionPtr revIDLastSave="0" documentId="8_{E4D3E64D-A775-4A5F-AAEA-26763DD559E8}" xr6:coauthVersionLast="47" xr6:coauthVersionMax="47" xr10:uidLastSave="{00000000-0000-0000-0000-000000000000}"/>
  <bookViews>
    <workbookView xWindow="-120" yWindow="-120" windowWidth="38640" windowHeight="21120" tabRatio="678" activeTab="6" xr2:uid="{00000000-000D-0000-FFFF-FFFF00000000}"/>
  </bookViews>
  <sheets>
    <sheet name="INDICE" sheetId="48" r:id="rId1"/>
    <sheet name="SSL190" sheetId="46" r:id="rId2"/>
    <sheet name="SSL250" sheetId="2" r:id="rId3"/>
    <sheet name="SSL225" sheetId="47" r:id="rId4"/>
    <sheet name="SSL270" sheetId="37" r:id="rId5"/>
    <sheet name="TLT35D" sheetId="3" r:id="rId6"/>
    <sheet name="VM115" sheetId="42" r:id="rId7"/>
    <sheet name="VM116" sheetId="4" r:id="rId8"/>
    <sheet name="1CX" sheetId="1" r:id="rId9"/>
    <sheet name="214" sheetId="39" r:id="rId10"/>
    <sheet name="1400" sheetId="41" r:id="rId11"/>
    <sheet name="3CXGLOBAL" sheetId="5" r:id="rId12"/>
    <sheet name="3CXECO" sheetId="6" r:id="rId13"/>
    <sheet name="3CXECOADVANCE" sheetId="7" r:id="rId14"/>
    <sheet name="THL 540-140" sheetId="30" r:id="rId15"/>
    <sheet name="THL 540-170" sheetId="38" r:id="rId16"/>
    <sheet name="THL 540-170&gt;21" sheetId="43" r:id="rId17"/>
    <sheet name="THL 531-70" sheetId="33" r:id="rId18"/>
    <sheet name="THL 531-70AG" sheetId="44" r:id="rId19"/>
    <sheet name="THL 508" sheetId="40" r:id="rId20"/>
    <sheet name="MINIEXCAVADORA 8030ZTS" sheetId="10" r:id="rId21"/>
    <sheet name="JS200" sheetId="29" r:id="rId22"/>
    <sheet name="JS205LC" sheetId="8" r:id="rId23"/>
    <sheet name="JS205LC&gt;20" sheetId="35" r:id="rId24"/>
    <sheet name="JS205NXT" sheetId="34" r:id="rId25"/>
    <sheet name="JS220LC " sheetId="31" r:id="rId26"/>
    <sheet name="JS220LC&gt;20" sheetId="36" r:id="rId27"/>
    <sheet name="JS305LC" sheetId="9" r:id="rId28"/>
    <sheet name="JS370LC" sheetId="32" r:id="rId29"/>
    <sheet name="437ZX" sheetId="45" r:id="rId30"/>
    <sheet name="455ZX" sheetId="11" r:id="rId31"/>
    <sheet name="JS385" sheetId="50" r:id="rId32"/>
    <sheet name="JS205 FUEL MASTER" sheetId="52" r:id="rId33"/>
    <sheet name="BT 65" sheetId="53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O18" i="47"/>
  <c r="O17" i="47"/>
  <c r="O15" i="47"/>
  <c r="O14" i="47"/>
  <c r="N19" i="42"/>
  <c r="N17" i="42"/>
  <c r="N16" i="42"/>
  <c r="N15" i="42"/>
  <c r="N14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H22" authorId="0" shapeId="0" xr:uid="{5469A633-A43C-493C-8950-40BD02FD556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Primer cambio a las 500hrs, posteriormente intervalo de 1000hrs</t>
        </r>
      </text>
    </comment>
    <comment ref="F23" authorId="0" shapeId="0" xr:uid="{ADDAD819-B5AC-4B51-A2BF-19BE82A0B62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Primer cambio a las 100hrs, posteriormente intervalos de 1000hrs, 2.2 lts marca Chevron Multigear GL-5 SAE 80w90 (envase de 1 lt)</t>
        </r>
      </text>
    </comment>
    <comment ref="F24" authorId="0" shapeId="0" xr:uid="{72418076-DD09-4E8F-9600-6981F242B4B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Primer cambio a las 100hrs, posteriormente intervalos de 1000hrs, 3.3lts marca chevron Oil Gear GL-1 SAE 90 (envase de 1lt)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2" authorId="0" shapeId="0" xr:uid="{20F489E5-9A5A-4DBF-9E8C-00DFC6224DD9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G13" authorId="0" shapeId="0" xr:uid="{67411DBD-E910-4B07-BE58-571821CA626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I28" authorId="0" shapeId="0" xr:uid="{24B1D9D9-7E40-4C79-BE5D-E8F8A109EB2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primer cambio a las 500hrs, posteriormente en intervalos de 1000hrs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2" authorId="0" shapeId="0" xr:uid="{EDAF583D-7EA1-4773-8CD2-4D24CAA7C3C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3" authorId="0" shapeId="0" xr:uid="{5DF8B97D-2EDD-4958-9B51-92FC3150028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H29" authorId="0" shapeId="0" xr:uid="{70B0E34F-723F-4F16-A005-C495A11E8CF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2" authorId="0" shapeId="0" xr:uid="{00CBAB7E-B477-4BC5-B5EE-4D8CE419C3B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3" authorId="0" shapeId="0" xr:uid="{CEDCB68E-711B-46F3-9759-FE626411037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H29" authorId="0" shapeId="0" xr:uid="{65059E2A-DE23-48D8-A934-47C849CEE25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0" authorId="0" shapeId="0" xr:uid="{486523D0-DE30-4EED-9660-62F1FBAA168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1" authorId="0" shapeId="0" xr:uid="{C779A2ED-608B-4F83-B8DC-6C27F5F40AB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0" authorId="0" shapeId="0" xr:uid="{3F2462AF-D5D4-4B5F-8EE8-CA132AA9EF95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1" authorId="0" shapeId="0" xr:uid="{364EED68-D315-44E7-B969-031DD1D1E62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1" authorId="0" shapeId="0" xr:uid="{BD2D1563-E9BF-4EF4-8311-B47550CD802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2" authorId="0" shapeId="0" xr:uid="{1C9BDAA2-6734-46B4-9D68-349550FCEEB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1" authorId="0" shapeId="0" xr:uid="{05C013C0-FDA6-4BCD-BED6-17ED7E98D9E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2" authorId="0" shapeId="0" xr:uid="{A96A83CE-25CA-443F-AF61-4EF3FC57FFB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0" authorId="0" shapeId="0" xr:uid="{D539BA75-3468-4268-A6A9-959C804F73A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1" authorId="0" shapeId="0" xr:uid="{2B4D2A2E-60EB-42A7-BADE-B5C0DF5BF2F1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8" authorId="0" shapeId="0" xr:uid="{E0A9D985-1256-475B-A54D-AAC5B9FA8EE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9" authorId="0" shapeId="0" xr:uid="{58EE3F2F-AA2D-4E61-8DF4-891A1A41B45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1" authorId="0" shapeId="0" xr:uid="{F9676AFB-4E91-4E24-9845-4F91DC3E5D0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2" authorId="0" shapeId="0" xr:uid="{144088B9-F421-4599-BDB2-6E8DD49D4FA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9" authorId="0" shapeId="0" xr:uid="{48F01DF5-F9CA-403A-8C89-00123097D74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0" authorId="0" shapeId="0" xr:uid="{77F2911F-8381-45AF-87FF-CDECE930670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1" authorId="0" shapeId="0" xr:uid="{FBC4F5A2-0EFC-43FF-A6EE-0DAC2D8DA6C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13" authorId="0" shapeId="0" xr:uid="{1277C604-26E7-4341-A827-FDECCAE046F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0" authorId="0" shapeId="0" xr:uid="{95A66D1C-7097-451B-8FD9-E3FFC4F519F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  <comment ref="F21" authorId="0" shapeId="0" xr:uid="{560E6B04-F81B-4427-BB33-090B968123B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H11" authorId="0" shapeId="0" xr:uid="{8D85F855-6521-4A8D-98F6-F57FC1A4476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H12" authorId="0" shapeId="0" xr:uid="{C962F92D-DF36-4687-BB1D-7D234B8931F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H13" authorId="0" shapeId="0" xr:uid="{995354ED-5975-4816-830A-9017047A0D3B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8" authorId="0" shapeId="0" xr:uid="{6D39E6BB-EFA9-43C0-B587-759E75A4B79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J21" authorId="0" shapeId="0" xr:uid="{4014D60E-4345-4950-9886-7C91F8032D45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K21" authorId="0" shapeId="0" xr:uid="{7CC01896-8F4B-4BA8-97E3-07DACE58C52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H23" authorId="0" shapeId="0" xr:uid="{5F5C87A7-22D3-4BB2-AF6D-B044366ACB51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H24" authorId="0" shapeId="0" xr:uid="{6431899C-5181-464B-A49A-C1DECC736B3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B2" authorId="0" shapeId="0" xr:uid="{4540CD57-7984-43F5-8898-BF852297E8E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Ver boletin 11/569</t>
        </r>
      </text>
    </comment>
    <comment ref="G12" authorId="0" shapeId="0" xr:uid="{05E5278A-4C38-4E96-8E45-E5A5F33E0D3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3" authorId="0" shapeId="0" xr:uid="{F07099C0-81D2-44C3-BA4A-F1CC8242434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0" shapeId="0" xr:uid="{E49E3463-552D-46DC-B812-270FE5779AFB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7" authorId="0" shapeId="0" xr:uid="{A7DF6307-7320-497E-9B6A-C1AB3437C2A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9" authorId="0" shapeId="0" xr:uid="{2C025816-D135-4960-9F15-1802C95027A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J29" authorId="0" shapeId="0" xr:uid="{4CB40B5E-C17C-4873-B963-D714C9A638C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31" authorId="0" shapeId="0" xr:uid="{6C9A1489-437B-441E-A5A2-902FDF2E7E3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32" authorId="0" shapeId="0" xr:uid="{5FC636BB-BC4F-47DB-B5E3-001467E79B01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2" authorId="0" shapeId="0" xr:uid="{76ABE7B6-0AFE-4ECB-8ABA-A07F6DA6351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3" authorId="0" shapeId="0" xr:uid="{21500564-9B40-456E-82FC-9C3602DC407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0" shapeId="0" xr:uid="{58F77531-B2A8-45F1-A2FF-5C2C89920A21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7" authorId="0" shapeId="0" xr:uid="{BCB5250A-B007-4073-94C8-94D4DBB7E18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9" authorId="0" shapeId="0" xr:uid="{29E7D3BD-A492-4224-AF58-A1D446EC34B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J29" authorId="0" shapeId="0" xr:uid="{5E085C8D-1BC5-477B-ADEC-0027DF378CD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31" authorId="0" shapeId="0" xr:uid="{254E49D3-FA2E-4695-86C7-5E36B5C8860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32" authorId="0" shapeId="0" xr:uid="{22315594-E2B8-4CF4-9C6E-F3CB5C8FCB8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2" authorId="0" shapeId="0" xr:uid="{4237FD58-2F29-4807-8988-25497B4E3E0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3" authorId="0" shapeId="0" xr:uid="{06444024-7424-4E46-A5FD-0FFB54402CA1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0" shapeId="0" xr:uid="{E5C2D352-D604-4ADE-ACE0-DA2E6C0CB50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7" authorId="0" shapeId="0" xr:uid="{756234DE-CAE5-4EAC-8E64-6A6F059262C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9" authorId="0" shapeId="0" xr:uid="{CE17613E-A328-4A5B-8D1C-23C116F77D7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J29" authorId="0" shapeId="0" xr:uid="{C0E28E3B-AB44-4F33-86B8-8BEA92E1D7A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31" authorId="0" shapeId="0" xr:uid="{245CA42C-F49F-4E14-9954-44578CEDCD3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32" authorId="0" shapeId="0" xr:uid="{BCC815D7-E5F5-4560-8F00-BA86C8956B5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3" authorId="0" shapeId="0" xr:uid="{D05E8931-32A2-46E9-9DC5-CABB30A99EF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0" shapeId="0" xr:uid="{5B53705A-48AA-4B74-867A-E2D68DA39F1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5" authorId="0" shapeId="0" xr:uid="{5930B38C-3E7C-4BD5-B5EB-F27711FABCF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6" authorId="0" shapeId="0" xr:uid="{1BF2A316-3CE4-4F30-B9AA-2461CFB43BD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9" authorId="0" shapeId="0" xr:uid="{E0F73D1E-E191-4A82-B033-2377A8FF76B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2" authorId="0" shapeId="0" xr:uid="{3458181D-63A4-42FE-B708-6A5322AAE549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K22" authorId="0" shapeId="0" xr:uid="{582B8DA9-047E-46D0-B8A0-A1670368A8E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M22" authorId="0" shapeId="0" xr:uid="{BE334229-9580-448E-9688-8A2F0446667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24" authorId="0" shapeId="0" xr:uid="{8D5463CD-E3D5-4916-B710-95D0883EA98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25" authorId="0" shapeId="0" xr:uid="{C2E84274-AB24-417D-AD84-05E2B9B00E3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Sindy García</author>
    <author>Henry Durand</author>
  </authors>
  <commentList>
    <comment ref="C8" authorId="0" shapeId="0" xr:uid="{CC5216BB-1AE7-4652-B326-9D4F5A2164E5}">
      <text>
        <r>
          <rPr>
            <b/>
            <sz val="9"/>
            <color indexed="81"/>
            <rFont val="Tahoma"/>
            <family val="2"/>
          </rPr>
          <t>Sindy García:</t>
        </r>
        <r>
          <rPr>
            <sz val="9"/>
            <color indexed="81"/>
            <rFont val="Tahoma"/>
            <family val="2"/>
          </rPr>
          <t xml:space="preserve">
MOV MASIVOS 
</t>
        </r>
      </text>
    </comment>
    <comment ref="G12" authorId="1" shapeId="0" xr:uid="{3DA582BE-0CEB-4EE1-93B6-6A9F934F38A8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3" authorId="1" shapeId="0" xr:uid="{A724A515-2CBD-49A3-B082-91CFC17733D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1" shapeId="0" xr:uid="{49C798D6-E55E-4154-A13A-40A364FE9ED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5" authorId="1" shapeId="0" xr:uid="{491E07D7-9CF7-4B68-981C-36790C5CDD0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8" authorId="1" shapeId="0" xr:uid="{E2ABC8D2-42B9-448D-A976-356674AD245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1" authorId="1" shapeId="0" xr:uid="{5FC4F800-2C4E-46D2-8DF9-5663A2A60AE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K21" authorId="1" shapeId="0" xr:uid="{0CAE0BFA-B7E5-4C3E-81EA-861CDC4F641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L21" authorId="1" shapeId="0" xr:uid="{FD7F142B-372C-464D-A89D-25F1C601DD6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23" authorId="1" shapeId="0" xr:uid="{8A44EED5-D159-4BBC-8285-220BD8C63E89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24" authorId="1" shapeId="0" xr:uid="{13EFC9D9-31EC-4887-B8EC-C81BB6F9867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1" authorId="0" shapeId="0" xr:uid="{1BD27236-9805-4453-B8EE-81EB611B429F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2" authorId="0" shapeId="0" xr:uid="{872B1AD5-F74E-48B8-BD57-C80588965BD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4" authorId="0" shapeId="0" xr:uid="{CA4B487D-2795-44FF-B978-1FACE932D24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6" authorId="0" shapeId="0" xr:uid="{08C5E475-3BE4-4638-B95C-8DA6EC7FF35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B18" authorId="0" shapeId="0" xr:uid="{1D61CCE6-0084-4BF8-AF5A-2A62FB9A916B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I21" authorId="0" shapeId="0" xr:uid="{C69649FE-8CCD-495D-8048-DB0650F86809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J21" authorId="0" shapeId="0" xr:uid="{7958586E-0B46-4C08-A349-B777EB8FAA6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23" authorId="0" shapeId="0" xr:uid="{DB59083A-9676-4964-8515-C1E3A83F0113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24" authorId="0" shapeId="0" xr:uid="{7263B20D-E2B3-4A35-A074-DE10CE4E56F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G13" authorId="0" shapeId="0" xr:uid="{8CE0094F-2A33-40EB-AFA0-D8F44016732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5" authorId="0" shapeId="0" xr:uid="{B404172A-7066-4060-AABE-3F3080A8E035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6" authorId="0" shapeId="0" xr:uid="{B4A15060-6076-4EC9-A74C-7298C03DD5F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G17" authorId="0" shapeId="0" xr:uid="{1D80CCCE-8EA5-4EEB-A819-14CF0E7ABB95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I24" authorId="0" shapeId="0" xr:uid="{9149FF53-6A13-4D77-BBC9-29246B8BA19D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J24" authorId="0" shapeId="0" xr:uid="{52746AC7-ACC1-48F5-8A3A-E1F92F42CA2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G26" authorId="0" shapeId="0" xr:uid="{AC5E1961-FECF-456F-83BF-CA9926BE5E8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G27" authorId="0" shapeId="0" xr:uid="{CA80AE24-B2D5-409C-ACC2-C9E78E52AD6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1" authorId="0" shapeId="0" xr:uid="{A9022B0F-F1EB-4047-9727-3802E4EE313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500hrs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4" authorId="0" shapeId="0" xr:uid="{43C9448E-C4BC-4A23-B8DA-F47E5B5039F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1000hrs.
</t>
        </r>
      </text>
    </comment>
    <comment ref="F15" authorId="0" shapeId="0" xr:uid="{B25FF738-27BD-413C-8C43-E7CCE56C1BB7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1000hrs.
</t>
        </r>
      </text>
    </comment>
    <comment ref="F22" authorId="0" shapeId="0" xr:uid="{AEC0B398-06F9-4F80-BEF3-80399239525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F23" authorId="0" shapeId="0" xr:uid="{76AD74A0-9C04-439A-8C4B-B09E841698FB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100hrs, posteriormente en intervalo de 1000hrs.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  <author>LIONEL VIELMAN</author>
  </authors>
  <commentList>
    <comment ref="B2" authorId="0" shapeId="0" xr:uid="{7F09500F-608F-443A-BF57-76B7F4447660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Ver boletin 11/569</t>
        </r>
      </text>
    </comment>
    <comment ref="F5" authorId="1" shapeId="0" xr:uid="{1C79FA16-C0DB-431A-B882-B98F8C7A55F9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si trabaja bajo condiciones duras, lleve a cabo una limpieza con aciete del motor (utilice el aciete del motor recomendado normal) cada 250 horas y cambie el aceite y filtro de motor. Los tiempos de servicio pueden depender del combustible utilizado. </t>
        </r>
      </text>
    </comment>
    <comment ref="G9" authorId="1" shapeId="0" xr:uid="{8213CB7A-D6EA-47CE-BC8D-3683CD1B770C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si trabaja en condiciones polvorientas, realice estas tareas con mayor frecuencia o cuando se muestre el indicador de restriccion en la DECU.
</t>
        </r>
      </text>
    </comment>
    <comment ref="G10" authorId="1" shapeId="0" xr:uid="{57B86C22-3E1D-4546-87D1-E60D30F5ED0A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si trabaja en condiciones polvorientas, realice estas tareas con mayor frecuencia o cuando se muestre el indicador de restriccion en la DECU.
</t>
        </r>
      </text>
    </comment>
    <comment ref="G14" authorId="1" shapeId="0" xr:uid="{C695051E-4CD8-416E-A4D7-B36B21D7BF19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sustituir cada 500 horas en condiciones normales, 100 horas en condiciones polvorientas.
</t>
        </r>
      </text>
    </comment>
    <comment ref="K20" authorId="1" shapeId="0" xr:uid="{E6FCAE8A-48F1-4462-8B0A-0A1A90433A80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sustituir cada 6000 horas
</t>
        </r>
      </text>
    </comment>
    <comment ref="D24" authorId="1" shapeId="0" xr:uid="{7C86F335-506F-45AD-9E20-9F10922C67B2}">
      <text>
        <r>
          <rPr>
            <b/>
            <sz val="9"/>
            <color indexed="81"/>
            <rFont val="Tahoma"/>
            <family val="2"/>
          </rPr>
          <t>LIONEL VIELMAN:</t>
        </r>
        <r>
          <rPr>
            <sz val="9"/>
            <color indexed="81"/>
            <rFont val="Tahoma"/>
            <family val="2"/>
          </rPr>
          <t xml:space="preserve">
CAPIDAD DE RECARGA 237 LITROS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Durand</author>
  </authors>
  <commentList>
    <comment ref="F11" authorId="0" shapeId="0" xr:uid="{5C0614FD-40FC-417B-B469-E531377F36C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F12" authorId="0" shapeId="0" xr:uid="{C39D4BAA-4477-4964-AD2B-EC27C524379E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F13" authorId="0" shapeId="0" xr:uid="{49469594-D2A8-4BDD-88B4-E32F8DC60536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1000hrs.</t>
        </r>
      </text>
    </comment>
    <comment ref="A16" authorId="0" shapeId="0" xr:uid="{7CD5E83C-D67D-4E92-8B53-E3764D48B46A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Si se usa constantemente el martillo, verificar constantemente el indicador de filtro saturado en el portafiltro para su cambio, esto sera en menos frecuencia a lo indicado en la cartilla de servicio.</t>
        </r>
      </text>
    </comment>
    <comment ref="H28" authorId="0" shapeId="0" xr:uid="{C010C6C9-F65C-43FD-9829-946AD9B5E30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I28" authorId="0" shapeId="0" xr:uid="{72FDC0D4-35B3-4C20-B286-B841AD0FD2F4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El aceite hidraulico dependera su cambio en menor intervalo si la excavadora hace uso de martillo frecuentemente, ver tabla del manual</t>
        </r>
      </text>
    </comment>
    <comment ref="F30" authorId="0" shapeId="0" xr:uid="{E94C99DF-7AD3-4A71-9271-DD5B41CC2912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  <comment ref="F31" authorId="0" shapeId="0" xr:uid="{EF8CA9B8-EEEB-4C95-A5C5-BE52B0BF731C}">
      <text>
        <r>
          <rPr>
            <b/>
            <sz val="9"/>
            <color indexed="81"/>
            <rFont val="Tahoma"/>
            <family val="2"/>
          </rPr>
          <t>Henry Durand:</t>
        </r>
        <r>
          <rPr>
            <sz val="9"/>
            <color indexed="81"/>
            <rFont val="Tahoma"/>
            <family val="2"/>
          </rPr>
          <t xml:space="preserve">
Realizar el 1er cambio a las 500hrs, posteriormente en intervalo de 1000hrs, si las horas de traslado es igual o mayor al 20% del horometro cambiar a cada 500hrs.</t>
        </r>
      </text>
    </comment>
  </commentList>
</comments>
</file>

<file path=xl/sharedStrings.xml><?xml version="1.0" encoding="utf-8"?>
<sst xmlns="http://schemas.openxmlformats.org/spreadsheetml/2006/main" count="5425" uniqueCount="743">
  <si>
    <t>INSUMOS EQUIPOS JCB 2024</t>
  </si>
  <si>
    <t xml:space="preserve">EQUIPO </t>
  </si>
  <si>
    <t>MODELO</t>
  </si>
  <si>
    <t>MINICARGADOR</t>
  </si>
  <si>
    <t>SSL90</t>
  </si>
  <si>
    <t>SSL225</t>
  </si>
  <si>
    <t>SSL250</t>
  </si>
  <si>
    <t>SSL270</t>
  </si>
  <si>
    <t>TELETRUCK</t>
  </si>
  <si>
    <t>TLT35D</t>
  </si>
  <si>
    <t>RODO</t>
  </si>
  <si>
    <t>VM115</t>
  </si>
  <si>
    <t>VM116</t>
  </si>
  <si>
    <t>MINI-RETRO</t>
  </si>
  <si>
    <t>1CX</t>
  </si>
  <si>
    <t>RETROEXCAVADORA</t>
  </si>
  <si>
    <t>3CX GLOBAL</t>
  </si>
  <si>
    <t>3CX ECO</t>
  </si>
  <si>
    <t>3CX ADVANCE</t>
  </si>
  <si>
    <t>TELEHANDLER</t>
  </si>
  <si>
    <t>THL540-140</t>
  </si>
  <si>
    <t>THL540-170</t>
  </si>
  <si>
    <t>THL-170&gt;21</t>
  </si>
  <si>
    <t>THL 531-70</t>
  </si>
  <si>
    <t>THL531-70AG</t>
  </si>
  <si>
    <t>THL 508</t>
  </si>
  <si>
    <t>MINI-EXCAVADORA</t>
  </si>
  <si>
    <t>8030ZTS</t>
  </si>
  <si>
    <t>EXCAVADORA</t>
  </si>
  <si>
    <t>JS200</t>
  </si>
  <si>
    <t>JS205LC</t>
  </si>
  <si>
    <t>JS205LC&gt;20</t>
  </si>
  <si>
    <t>JS205NST</t>
  </si>
  <si>
    <t>JS220LC</t>
  </si>
  <si>
    <t>JS220LC&gt;20</t>
  </si>
  <si>
    <t>JS305LC</t>
  </si>
  <si>
    <t>JS370LC</t>
  </si>
  <si>
    <t xml:space="preserve">CARGADOR FRONTAL </t>
  </si>
  <si>
    <t>437ZX</t>
  </si>
  <si>
    <t>455ZX</t>
  </si>
  <si>
    <t>MINICARGADOR SSL190</t>
  </si>
  <si>
    <t xml:space="preserve">DESCRIPCION </t>
  </si>
  <si>
    <t xml:space="preserve"># PARTE </t>
  </si>
  <si>
    <t>CAPACIDAD DE EQUIPO</t>
  </si>
  <si>
    <t>CAPACIDAD DE CANECA</t>
  </si>
  <si>
    <t>FRECUENCIA</t>
  </si>
  <si>
    <t># Parte Anterior</t>
  </si>
  <si>
    <t>FILTRO  ACEITE MOTOR</t>
  </si>
  <si>
    <t>02/630935A</t>
  </si>
  <si>
    <t>X</t>
  </si>
  <si>
    <t>FILTRO  SEPARADOR COMBUSTIBLE</t>
  </si>
  <si>
    <t>400/E2676</t>
  </si>
  <si>
    <t>ELEMENTO EXTERNO ADMISION</t>
  </si>
  <si>
    <t xml:space="preserve">02/971664 </t>
  </si>
  <si>
    <t>ELEMENTO INTERNO ADMISION</t>
  </si>
  <si>
    <t>353/03979</t>
  </si>
  <si>
    <t>FILTRO RESPIRADERO HYD</t>
  </si>
  <si>
    <t>333/X2764</t>
  </si>
  <si>
    <t>FILTRO RETORNO ACEITE HYD</t>
  </si>
  <si>
    <t>333/X2747</t>
  </si>
  <si>
    <t>FILTRO HYD DE CARGA</t>
  </si>
  <si>
    <t>334/L6230</t>
  </si>
  <si>
    <t>CORREA DE ACCESORIOS</t>
  </si>
  <si>
    <t>02/631174</t>
  </si>
  <si>
    <t xml:space="preserve">ACEITE DE MOTOR  </t>
  </si>
  <si>
    <t>4001/4005</t>
  </si>
  <si>
    <t>20L</t>
  </si>
  <si>
    <t>ACEITE HYD</t>
  </si>
  <si>
    <t>4002/0805U</t>
  </si>
  <si>
    <t xml:space="preserve">GRASA HP ESPECIAL </t>
  </si>
  <si>
    <t>TALLER</t>
  </si>
  <si>
    <t>1 Und</t>
  </si>
  <si>
    <t>O</t>
  </si>
  <si>
    <t>ACEITE CAJA DE CADENA</t>
  </si>
  <si>
    <t>4001/1805E</t>
  </si>
  <si>
    <t xml:space="preserve">REFRIGERANTE </t>
  </si>
  <si>
    <t>Anterior</t>
  </si>
  <si>
    <t>Aceite Hidraulico VG 46</t>
  </si>
  <si>
    <t>4002/0805E</t>
  </si>
  <si>
    <t>4002/2005E</t>
  </si>
  <si>
    <t>Aceite para Motor 15W40</t>
  </si>
  <si>
    <t>4001/2905U</t>
  </si>
  <si>
    <t>Aceite para caja de cadena</t>
  </si>
  <si>
    <t>Refrigerante Antifreeze AST D3306-4</t>
  </si>
  <si>
    <t>WAXOYL</t>
  </si>
  <si>
    <t>4003/4050</t>
  </si>
  <si>
    <t>MINICARGADOR SSL250</t>
  </si>
  <si>
    <t>320/B4420</t>
  </si>
  <si>
    <t>320/A7124</t>
  </si>
  <si>
    <t>32/925915</t>
  </si>
  <si>
    <t>FILTRO  COMBUSTIBLE</t>
  </si>
  <si>
    <t>320/A7170</t>
  </si>
  <si>
    <t>320/07394</t>
  </si>
  <si>
    <t>333/D2696</t>
  </si>
  <si>
    <t xml:space="preserve">32/915701 </t>
  </si>
  <si>
    <t>32/925683</t>
  </si>
  <si>
    <t xml:space="preserve">32/915702 </t>
  </si>
  <si>
    <t xml:space="preserve">332/X3332 </t>
  </si>
  <si>
    <t xml:space="preserve">333/P3873 </t>
  </si>
  <si>
    <t>333/X7708</t>
  </si>
  <si>
    <t>332/X2640</t>
  </si>
  <si>
    <t>320/A8705</t>
  </si>
  <si>
    <t>320/08765</t>
  </si>
  <si>
    <t xml:space="preserve">320/08765 </t>
  </si>
  <si>
    <t>15 LTS</t>
  </si>
  <si>
    <t>15W40</t>
  </si>
  <si>
    <t>30 LTS</t>
  </si>
  <si>
    <t>12KG</t>
  </si>
  <si>
    <t>NLGI2</t>
  </si>
  <si>
    <t>22 LTS</t>
  </si>
  <si>
    <t xml:space="preserve">Antifreeze ASTM D3306-4 </t>
  </si>
  <si>
    <t>MINICARGADOR SSL225</t>
  </si>
  <si>
    <t>CANECAS</t>
  </si>
  <si>
    <t>MINICARGADOR SSL270</t>
  </si>
  <si>
    <t># Parte Anterior O =</t>
  </si>
  <si>
    <t>320/A7123</t>
  </si>
  <si>
    <t>320/07382</t>
  </si>
  <si>
    <t>320/A7351</t>
  </si>
  <si>
    <t>401/K0595</t>
  </si>
  <si>
    <t>FILTRO DE VENTILACION DE CARTER</t>
  </si>
  <si>
    <t>320/07853</t>
  </si>
  <si>
    <t>FAJA DE MOTOR</t>
  </si>
  <si>
    <t>50 LTS</t>
  </si>
  <si>
    <t>TELETRUCK 35D YARA</t>
  </si>
  <si>
    <t>02/930245</t>
  </si>
  <si>
    <t>332/S3917</t>
  </si>
  <si>
    <t>32/917301</t>
  </si>
  <si>
    <t>32/917302</t>
  </si>
  <si>
    <t>FILTRO ACEITE HYD</t>
  </si>
  <si>
    <t>333/W2655</t>
  </si>
  <si>
    <t xml:space="preserve">CORREA DE TEMPORIZACION </t>
  </si>
  <si>
    <t>02/930210</t>
  </si>
  <si>
    <t>02/930126</t>
  </si>
  <si>
    <t>62.5 LTS</t>
  </si>
  <si>
    <t>10 LTS</t>
  </si>
  <si>
    <t>15w40</t>
  </si>
  <si>
    <t>11 LTS</t>
  </si>
  <si>
    <t>WAXOYL (Aerosol)</t>
  </si>
  <si>
    <t>RODILLO COMPACTADOR VM115</t>
  </si>
  <si>
    <t xml:space="preserve">CAPACIDAD DE EQUIPO </t>
  </si>
  <si>
    <t>320/04133A</t>
  </si>
  <si>
    <t>320/04134</t>
  </si>
  <si>
    <t>FILTRO  COMBUSTIBLE SEPARADOR</t>
  </si>
  <si>
    <t>320/A7128</t>
  </si>
  <si>
    <t>32/925694</t>
  </si>
  <si>
    <t>FILTRO  COMBUSTIBLE DE LUBRICIDAD</t>
  </si>
  <si>
    <t>32/926107</t>
  </si>
  <si>
    <t>FILTRO DE COMBUSTIBLE (en motor)</t>
  </si>
  <si>
    <t>580/12020</t>
  </si>
  <si>
    <t>580/12021</t>
  </si>
  <si>
    <t>2611/00170</t>
  </si>
  <si>
    <t>2611/00046</t>
  </si>
  <si>
    <t xml:space="preserve">CORREA VENTILADOR </t>
  </si>
  <si>
    <t>320/08609</t>
  </si>
  <si>
    <t>60 lts</t>
  </si>
  <si>
    <t>15 lts</t>
  </si>
  <si>
    <t>EJE TRASERO</t>
  </si>
  <si>
    <t>4000/2205U</t>
  </si>
  <si>
    <t>22 lts</t>
  </si>
  <si>
    <t>GEAR OIL LS PLUS 80W90</t>
  </si>
  <si>
    <t>CAJA DE ENGRANAJE DE TRANSMISION TAMBOR</t>
  </si>
  <si>
    <t>80w90l</t>
  </si>
  <si>
    <t>1.3 lts</t>
  </si>
  <si>
    <t>1L</t>
  </si>
  <si>
    <t>Multigear GL - 5 (SAE 80W-90)</t>
  </si>
  <si>
    <t xml:space="preserve">CAJA DEL EJE VIBRADOR </t>
  </si>
  <si>
    <t>SAE 90 GEAR</t>
  </si>
  <si>
    <t>3.5 lts</t>
  </si>
  <si>
    <t>Oil Gear GL-1 (SAE90)</t>
  </si>
  <si>
    <t>14 lts</t>
  </si>
  <si>
    <t>Aceite para Ejes y Mand. 80W90 LS</t>
  </si>
  <si>
    <t>4000/3905E</t>
  </si>
  <si>
    <t>Caja Engranaje de Transmision Multigear GL-5 (SAE 80W90)</t>
  </si>
  <si>
    <t>Chevron</t>
  </si>
  <si>
    <t>4000/0301E</t>
  </si>
  <si>
    <t>Caja del Eje Vibrador - Oil Gear GL- 1 (SAE 90)</t>
  </si>
  <si>
    <t>SA90L</t>
  </si>
  <si>
    <t>4000/4901E</t>
  </si>
  <si>
    <t>RODILLO COMPACTADOR JCB116</t>
  </si>
  <si>
    <t xml:space="preserve">FRECUENCIA </t>
  </si>
  <si>
    <t>320/A7120</t>
  </si>
  <si>
    <t>32/925994</t>
  </si>
  <si>
    <t>32/917804</t>
  </si>
  <si>
    <t>32/917805</t>
  </si>
  <si>
    <t>333/w2655</t>
  </si>
  <si>
    <t>320/08547</t>
  </si>
  <si>
    <t>JUNTA TORICA DE LLENADO (ACEITE MOTOR)</t>
  </si>
  <si>
    <t>320/04092</t>
  </si>
  <si>
    <t>INYECTORES</t>
  </si>
  <si>
    <t>320/06839</t>
  </si>
  <si>
    <t>CIRCUITO DE RETORNO DE COMBUSTIBLLE DE INYECTORES</t>
  </si>
  <si>
    <t>320/07069</t>
  </si>
  <si>
    <t>320/07059</t>
  </si>
  <si>
    <t>320/07052</t>
  </si>
  <si>
    <t>CIRCUITO DE COMBUSTIBLE ALTA PRESION</t>
  </si>
  <si>
    <t>320/06551</t>
  </si>
  <si>
    <t>320/06554</t>
  </si>
  <si>
    <t>60 LTS</t>
  </si>
  <si>
    <t>14.5 LTS</t>
  </si>
  <si>
    <t>23.5 LTS</t>
  </si>
  <si>
    <t>2.2 LTS</t>
  </si>
  <si>
    <t>3.3 LTS</t>
  </si>
  <si>
    <t xml:space="preserve"> </t>
  </si>
  <si>
    <t>NOTA:</t>
  </si>
  <si>
    <t>X=</t>
  </si>
  <si>
    <t>solo a las primeras 100 hrs,  luego a las 1000 hrs y seguir ese intervalo</t>
  </si>
  <si>
    <t>Solo las primeras 500hrs, luego a las 1000hrs y seguir ese intervalo</t>
  </si>
  <si>
    <t>MINIRETROEXCAVADORA 1CX</t>
  </si>
  <si>
    <t>32/401102</t>
  </si>
  <si>
    <t>FILTRO  COMBUSTIBLE PRE</t>
  </si>
  <si>
    <t>32/922300</t>
  </si>
  <si>
    <t>32/925348</t>
  </si>
  <si>
    <t>32/925349</t>
  </si>
  <si>
    <t xml:space="preserve">581/18020 </t>
  </si>
  <si>
    <t xml:space="preserve">32/905501 </t>
  </si>
  <si>
    <t>45 LTS</t>
  </si>
  <si>
    <t>VG46</t>
  </si>
  <si>
    <t>10.5 LTS</t>
  </si>
  <si>
    <t>6 Und</t>
  </si>
  <si>
    <t>40 LTS</t>
  </si>
  <si>
    <t>10w30 (motor)</t>
  </si>
  <si>
    <t xml:space="preserve">Aceite de guardacadena </t>
  </si>
  <si>
    <t>4001/1705E</t>
  </si>
  <si>
    <t>Refrigerante</t>
  </si>
  <si>
    <t>RETROEXCAVADORA 214</t>
  </si>
  <si>
    <t>02/100073A</t>
  </si>
  <si>
    <t>02/100073</t>
  </si>
  <si>
    <t>32/912001A</t>
  </si>
  <si>
    <t>32/912001</t>
  </si>
  <si>
    <t>ELEMENTO EXTERNO ADMISION / AIRE main</t>
  </si>
  <si>
    <t>32/915802</t>
  </si>
  <si>
    <t>ELEMENTO INTERNO ADMISION / AIRE safety</t>
  </si>
  <si>
    <t xml:space="preserve">32/915801 </t>
  </si>
  <si>
    <t>TAPON CON FILTRO RESPIRADERO HYD</t>
  </si>
  <si>
    <t>32/925421</t>
  </si>
  <si>
    <t>32/925334</t>
  </si>
  <si>
    <t>FILTRO DE SUCCION ACEITE HYD</t>
  </si>
  <si>
    <t>332/B1918</t>
  </si>
  <si>
    <t>FILTRO DE RETORNO ACEITE HYD</t>
  </si>
  <si>
    <t>32/925346</t>
  </si>
  <si>
    <t xml:space="preserve">FILTRO DE TRANSMISION </t>
  </si>
  <si>
    <t>32/915500</t>
  </si>
  <si>
    <t>123/06399</t>
  </si>
  <si>
    <t>130 lts</t>
  </si>
  <si>
    <t xml:space="preserve">ACEITE DE TRANSMISION </t>
  </si>
  <si>
    <t>4000/2505U</t>
  </si>
  <si>
    <t>15.4 lts</t>
  </si>
  <si>
    <t>10W30 // SAE 30</t>
  </si>
  <si>
    <t>ACEITE DE EJE DELANTERO Y MANDOS FINALES</t>
  </si>
  <si>
    <t>4000/0305U</t>
  </si>
  <si>
    <t xml:space="preserve">80W90 </t>
  </si>
  <si>
    <t>ACEITE DE EJE POSTERIOR</t>
  </si>
  <si>
    <t>27 lts</t>
  </si>
  <si>
    <t>80W90 (con LSD)</t>
  </si>
  <si>
    <t>ACEITE DE FRENO</t>
  </si>
  <si>
    <t>1.5 lts</t>
  </si>
  <si>
    <t>ISO 15</t>
  </si>
  <si>
    <t>23 lts</t>
  </si>
  <si>
    <t>WAXOYL (CONDICIONAL)</t>
  </si>
  <si>
    <t>GRASA HP ESPECIAL (CONDICIONAL)</t>
  </si>
  <si>
    <t>Aceite para Ejes y Mand 80W90</t>
  </si>
  <si>
    <t>4000/2205E</t>
  </si>
  <si>
    <t>4000/0305E</t>
  </si>
  <si>
    <t>Aceite para Transmision SAE 10W30</t>
  </si>
  <si>
    <t>4000/2505E</t>
  </si>
  <si>
    <t>Refrigerante Antifreeze AST D3306-4 (rojo)</t>
  </si>
  <si>
    <t>Aceite 1000 THF (1litro)</t>
  </si>
  <si>
    <t>RETROEXCAVADORA 1400</t>
  </si>
  <si>
    <t>32/400701</t>
  </si>
  <si>
    <t>32/903601</t>
  </si>
  <si>
    <t xml:space="preserve">32/202601 </t>
  </si>
  <si>
    <t>123/00295</t>
  </si>
  <si>
    <t>32/901300</t>
  </si>
  <si>
    <t>581/06301</t>
  </si>
  <si>
    <t>02/100284A</t>
  </si>
  <si>
    <t>02/200521</t>
  </si>
  <si>
    <t>118 lts</t>
  </si>
  <si>
    <t>11 lts</t>
  </si>
  <si>
    <t>20.8 lts</t>
  </si>
  <si>
    <t>18 lts</t>
  </si>
  <si>
    <t>28 lts</t>
  </si>
  <si>
    <t>1 lts</t>
  </si>
  <si>
    <t>17 lts</t>
  </si>
  <si>
    <t>-</t>
  </si>
  <si>
    <t>RETROEXCAVADORA 3CX GLOBAL</t>
  </si>
  <si>
    <t xml:space="preserve">320/B4420 </t>
  </si>
  <si>
    <t>FILTRO DE COMBUSTIBLE</t>
  </si>
  <si>
    <t>320/20044</t>
  </si>
  <si>
    <t>32/925682</t>
  </si>
  <si>
    <t>333/Y1376</t>
  </si>
  <si>
    <t>581/R5206</t>
  </si>
  <si>
    <t>581/R2034</t>
  </si>
  <si>
    <t>FITLRO DE CABINA (OPCIONAL)</t>
  </si>
  <si>
    <t>332/A9113</t>
  </si>
  <si>
    <t>FILTRO DE AIRE ACONDICIONADO (OPCIONAL)</t>
  </si>
  <si>
    <t>332/F8191</t>
  </si>
  <si>
    <t>VIENEN 2</t>
  </si>
  <si>
    <t>320/08608</t>
  </si>
  <si>
    <t>320/04127</t>
  </si>
  <si>
    <t>JUNTA TORICA DE MEDIDOR (ACEITE MOTOR)</t>
  </si>
  <si>
    <t>320/04129</t>
  </si>
  <si>
    <t>9822/2170</t>
  </si>
  <si>
    <t>JUNTA TORICA DE TAPON DE LLENADO (ACEITE DE  MOTOR)</t>
  </si>
  <si>
    <t>SELLO DE CULATA</t>
  </si>
  <si>
    <t>320/09200</t>
  </si>
  <si>
    <t>320/06835</t>
  </si>
  <si>
    <t>21 lts</t>
  </si>
  <si>
    <t>21.5 lts</t>
  </si>
  <si>
    <t>Horas</t>
  </si>
  <si>
    <t>solo a las primeras 100 hrs,  luego a las 500 hrs y seguir ese intervalo</t>
  </si>
  <si>
    <t>4002/0503E</t>
  </si>
  <si>
    <t>RETROEXCVADORA 3CX ECO</t>
  </si>
  <si>
    <t>FILTRO DE LINEA DE RETORNO DEL MARTILLO (OPCIONAL)</t>
  </si>
  <si>
    <t>32/909200</t>
  </si>
  <si>
    <t>FILTRO PILOTAJE (BOMBA VARIABLE OPCIONAL)</t>
  </si>
  <si>
    <t>32/925865</t>
  </si>
  <si>
    <t xml:space="preserve">CIRCUITO DE RETORNO COMBUSTIBLE </t>
  </si>
  <si>
    <t>320/07192</t>
  </si>
  <si>
    <t>15.5 lts</t>
  </si>
  <si>
    <t>17.5 lts</t>
  </si>
  <si>
    <t>12Kg</t>
  </si>
  <si>
    <t>RETROEXCAVADORA 3CX ECO ADVANCE</t>
  </si>
  <si>
    <t xml:space="preserve">320/04133A </t>
  </si>
  <si>
    <t xml:space="preserve">FITLRO DE CABINA </t>
  </si>
  <si>
    <t xml:space="preserve">FILTRO DE AIRE ACONDICIONADO </t>
  </si>
  <si>
    <t>TELEHANDLER 540-140 PRELISA O GPO CIVICA</t>
  </si>
  <si>
    <t>32/925592</t>
  </si>
  <si>
    <t>FILTRO DE ALTA PRESION (OPCIONAL)</t>
  </si>
  <si>
    <t>32/925736</t>
  </si>
  <si>
    <t>30/925759</t>
  </si>
  <si>
    <t>333/C7305</t>
  </si>
  <si>
    <t>CORREA DE IMPLEMENTOS</t>
  </si>
  <si>
    <t>320/A8712</t>
  </si>
  <si>
    <t xml:space="preserve">320/08764 </t>
  </si>
  <si>
    <t xml:space="preserve">131 lts </t>
  </si>
  <si>
    <t>ACEITE DE EJE POSTERIOR Y MANDOS FINALES</t>
  </si>
  <si>
    <t xml:space="preserve">23 lts </t>
  </si>
  <si>
    <t>TELEHANDLER 540-170&lt;21</t>
  </si>
  <si>
    <t xml:space="preserve">FILTRO DE COMBUSTIBLE </t>
  </si>
  <si>
    <t>32/925950</t>
  </si>
  <si>
    <t xml:space="preserve">581/M8563 </t>
  </si>
  <si>
    <t xml:space="preserve">332/S1886 </t>
  </si>
  <si>
    <t>30/925959</t>
  </si>
  <si>
    <t>180 lts</t>
  </si>
  <si>
    <t>4000/3905U</t>
  </si>
  <si>
    <t>TELEHANDLER 740-170&gt;21</t>
  </si>
  <si>
    <t>581/M8563</t>
  </si>
  <si>
    <t>332/S1886</t>
  </si>
  <si>
    <t>TELEHANDLER 531-70 PRELISA O GPO CIVICA</t>
  </si>
  <si>
    <t>FILTRO DE VENTILACION DE CARTER (CVV)</t>
  </si>
  <si>
    <t>320/07632</t>
  </si>
  <si>
    <t>333/C4690</t>
  </si>
  <si>
    <t>solo primeras 100 horas luego cada 500 hrs</t>
  </si>
  <si>
    <t>TELEHANDLER 531-70 AG</t>
  </si>
  <si>
    <t>332/D5584A</t>
  </si>
  <si>
    <t xml:space="preserve">FILTRO DE SUCCION </t>
  </si>
  <si>
    <t>333/C6860</t>
  </si>
  <si>
    <t xml:space="preserve">320/A88712 </t>
  </si>
  <si>
    <t>115 lts</t>
  </si>
  <si>
    <t>TELEHANDLER 508</t>
  </si>
  <si>
    <t>32/903201</t>
  </si>
  <si>
    <t>32/906802A</t>
  </si>
  <si>
    <t>32/903202</t>
  </si>
  <si>
    <t>32/909400</t>
  </si>
  <si>
    <t>32/500500</t>
  </si>
  <si>
    <t>32/904200</t>
  </si>
  <si>
    <t>32/906501</t>
  </si>
  <si>
    <t>02/200426</t>
  </si>
  <si>
    <t>10 lts</t>
  </si>
  <si>
    <t>ACEITE DE EJE POSTERIOR  Y MANDOS FINALES</t>
  </si>
  <si>
    <t>23.5 lts</t>
  </si>
  <si>
    <t>MINIEXCAVADORA 8030ZTS UNION SANTIAGO</t>
  </si>
  <si>
    <t>02/630935</t>
  </si>
  <si>
    <t>FILTRO  COMBUSTIBLE PRIMARIO</t>
  </si>
  <si>
    <t>FILTRO SEPARADOR DE COMBUSTIBLE</t>
  </si>
  <si>
    <t>32/925666</t>
  </si>
  <si>
    <t>32/925894</t>
  </si>
  <si>
    <t>32/925895</t>
  </si>
  <si>
    <t>FILTRO RESPIRADERO DE TANQUE HYD</t>
  </si>
  <si>
    <t>332/R3767</t>
  </si>
  <si>
    <t xml:space="preserve">FILTRO HIDRAULICO DE RETORNO </t>
  </si>
  <si>
    <t>35/925858</t>
  </si>
  <si>
    <t xml:space="preserve">FILTRO DE ASPIRACION </t>
  </si>
  <si>
    <t>CORREA DE VENTILACION</t>
  </si>
  <si>
    <t>02/630447</t>
  </si>
  <si>
    <t>40L</t>
  </si>
  <si>
    <t>VG 46</t>
  </si>
  <si>
    <t>4,5L</t>
  </si>
  <si>
    <t>ACEITE REDUCTORA DE GIRO</t>
  </si>
  <si>
    <t>80w90L</t>
  </si>
  <si>
    <t xml:space="preserve">ACEITE DE ORUGAS </t>
  </si>
  <si>
    <t>8,5L</t>
  </si>
  <si>
    <t>17 kg</t>
  </si>
  <si>
    <t>Caja del Eje Vibrador</t>
  </si>
  <si>
    <t>EXCAVADORA JS200 JAGUAR ENERGY</t>
  </si>
  <si>
    <t>581/18096</t>
  </si>
  <si>
    <t>332/G2071</t>
  </si>
  <si>
    <t xml:space="preserve">FILTRO SEPARADOR DE AGUA </t>
  </si>
  <si>
    <t>320/A7121</t>
  </si>
  <si>
    <t>32/925869</t>
  </si>
  <si>
    <t>335/F0621</t>
  </si>
  <si>
    <t>335/G0531</t>
  </si>
  <si>
    <t>FILTRO HIDRAULICO DE DRENAJE</t>
  </si>
  <si>
    <t>332/B7467</t>
  </si>
  <si>
    <t>FILTRO HIDRAULICO DE PILOTAJE RETORNO</t>
  </si>
  <si>
    <t>335/G2061</t>
  </si>
  <si>
    <t>FILTRO HIDRAULICO PLEXUS</t>
  </si>
  <si>
    <t>32/925140</t>
  </si>
  <si>
    <t>ORING FILTRO HIDRAULICO PLEXUS</t>
  </si>
  <si>
    <t>828/10080</t>
  </si>
  <si>
    <t>335/G0386</t>
  </si>
  <si>
    <t>30/926020</t>
  </si>
  <si>
    <t>FILTRO DE RETORNO DE MARTILLO (OPCIONAL)</t>
  </si>
  <si>
    <t>332/J9359</t>
  </si>
  <si>
    <t>CORREA DE AIRE ACONDICIONADO</t>
  </si>
  <si>
    <t>331/58821</t>
  </si>
  <si>
    <t xml:space="preserve">02/802236 </t>
  </si>
  <si>
    <t>4002/0805U y/o 4002/0705</t>
  </si>
  <si>
    <t>VG 46 / 68</t>
  </si>
  <si>
    <t>5 lts</t>
  </si>
  <si>
    <t>80W90</t>
  </si>
  <si>
    <t>2x4.7 lts</t>
  </si>
  <si>
    <t>JIS K2234 CLASE II, ASTM D6210</t>
  </si>
  <si>
    <t>Primer cambio a las 500hrs, posteriormente intervalos de 1000hrs, si el traslado es igual o mayo que el 20% del horometro reducir el intervalo a 500hrs.</t>
  </si>
  <si>
    <t>Realizar el 1er cambio a las 500hrs, posteriormente en intervalo de 1000hrs.</t>
  </si>
  <si>
    <t>El aceite hidraulico dependera su cambio en menor intervalo si la excavadora hace uso de martillo frecuentemente, ver tabla del manual</t>
  </si>
  <si>
    <t>EXCAVADORA JS205LC&lt;20</t>
  </si>
  <si>
    <t>02/910140A</t>
  </si>
  <si>
    <t>02/910140</t>
  </si>
  <si>
    <t>336/A0248</t>
  </si>
  <si>
    <t>02/910155A</t>
  </si>
  <si>
    <t>02/910930</t>
  </si>
  <si>
    <t>FILTRO SEPARADOR DE AGUA SECUNDARIO</t>
  </si>
  <si>
    <t>332/Y3163</t>
  </si>
  <si>
    <t>333/Y2490</t>
  </si>
  <si>
    <t>FILTRO SEPARADOR DE AGUA PRIMARIO</t>
  </si>
  <si>
    <t>32/925968</t>
  </si>
  <si>
    <t>334/Y2810</t>
  </si>
  <si>
    <t>334/Y2811</t>
  </si>
  <si>
    <t>335/C7872</t>
  </si>
  <si>
    <t>335/G0387</t>
  </si>
  <si>
    <t>335/D8924</t>
  </si>
  <si>
    <t>331/44674</t>
  </si>
  <si>
    <t>332/Y7124</t>
  </si>
  <si>
    <t xml:space="preserve">MANGUERA DE SALIDA DE BOMBA </t>
  </si>
  <si>
    <t>229/01553</t>
  </si>
  <si>
    <t>627/10046</t>
  </si>
  <si>
    <t>2409/0205</t>
  </si>
  <si>
    <t>2409/0210</t>
  </si>
  <si>
    <t xml:space="preserve">MANGUERA DE CILINDRO DE PLUMA </t>
  </si>
  <si>
    <t>627/10644</t>
  </si>
  <si>
    <t>MANGUERA DEL CAZO (BRAZO DE 2.4 MTS)</t>
  </si>
  <si>
    <t>KRV0926</t>
  </si>
  <si>
    <t>JHH0063</t>
  </si>
  <si>
    <t>JHH0030</t>
  </si>
  <si>
    <t>JHH0033</t>
  </si>
  <si>
    <t>19 lts</t>
  </si>
  <si>
    <t>2x5 lts</t>
  </si>
  <si>
    <t>25.5 lts</t>
  </si>
  <si>
    <t>Realizar el 1er cambio a las 500hrs, posteriormente en intervalo de 1000hrs, si las horas de traslado es igual o mayor al 20% del horometro cambiar a cada 500hrs</t>
  </si>
  <si>
    <t>EXCAVADORA JS205LC&gt;20</t>
  </si>
  <si>
    <t>333/Y7453</t>
  </si>
  <si>
    <t>336/E9731</t>
  </si>
  <si>
    <t>FILTRO SEPARADOR DE AGUA</t>
  </si>
  <si>
    <t>336/E9730</t>
  </si>
  <si>
    <t>STRAINER DE COMBUSTIBLE</t>
  </si>
  <si>
    <t>332/Y3299</t>
  </si>
  <si>
    <t>332/B1612</t>
  </si>
  <si>
    <t>32/925692</t>
  </si>
  <si>
    <t>KBJ1691A</t>
  </si>
  <si>
    <t>400/Z7746</t>
  </si>
  <si>
    <t>400/P9246</t>
  </si>
  <si>
    <t>332/B1489</t>
  </si>
  <si>
    <t>KNJ0288A</t>
  </si>
  <si>
    <t>32/925359</t>
  </si>
  <si>
    <t>400/R6073</t>
  </si>
  <si>
    <t>400/10348</t>
  </si>
  <si>
    <t>EXCAVADORA JS205NXT</t>
  </si>
  <si>
    <t xml:space="preserve">400/07434 </t>
  </si>
  <si>
    <t>EXCAVADORA JS220LC&lt;20</t>
  </si>
  <si>
    <t xml:space="preserve">FILTRO SEPARADOR DE AGUA SECUNDARIO </t>
  </si>
  <si>
    <t>333/K7702</t>
  </si>
  <si>
    <t>FILTRO DE LUBRICIDAD</t>
  </si>
  <si>
    <t xml:space="preserve">32/926107 </t>
  </si>
  <si>
    <t>FILTRO DE COMBUSTIBLE PRINCIPAL</t>
  </si>
  <si>
    <t>320/A7357</t>
  </si>
  <si>
    <t>320/07416</t>
  </si>
  <si>
    <t>FILTRO DE DRENAJE</t>
  </si>
  <si>
    <t>KNJ0288</t>
  </si>
  <si>
    <t>KBJ1691</t>
  </si>
  <si>
    <t>FILTRO DE VÁLVULA AMORTIGUADORA</t>
  </si>
  <si>
    <t>335/G0556</t>
  </si>
  <si>
    <t>333/K3339</t>
  </si>
  <si>
    <t>320/08672</t>
  </si>
  <si>
    <t>320/08761</t>
  </si>
  <si>
    <t>EXCAVADORA JS220LC&gt;20</t>
  </si>
  <si>
    <t>320/A7001</t>
  </si>
  <si>
    <t>FILTRO HIDRÁULICO DE SERVO</t>
  </si>
  <si>
    <t xml:space="preserve">FILTRO DE VÁLVULA AMORTIGUADORA </t>
  </si>
  <si>
    <t>320/A8717</t>
  </si>
  <si>
    <t xml:space="preserve"> 320/08671  </t>
  </si>
  <si>
    <t>EXCAVADORA JS305LC</t>
  </si>
  <si>
    <t>320/A4038</t>
  </si>
  <si>
    <t xml:space="preserve">FILTRO  SEPARADOR DE COMBUSTIBLE </t>
  </si>
  <si>
    <t>320/07483</t>
  </si>
  <si>
    <t>320/07426</t>
  </si>
  <si>
    <t>334/R1768</t>
  </si>
  <si>
    <t>334/R1769</t>
  </si>
  <si>
    <t>FILTRO HIDRAULICO DE SERVO</t>
  </si>
  <si>
    <t>ELEMENTO DE FILTRO CCV</t>
  </si>
  <si>
    <t>335/D4436</t>
  </si>
  <si>
    <t>FILTRO DE VALVULA AMORTIGUADORA</t>
  </si>
  <si>
    <t xml:space="preserve">CORREA DE IMPLEMENTOS </t>
  </si>
  <si>
    <t>320/08604</t>
  </si>
  <si>
    <t xml:space="preserve">CORREA DE VENTILADOR </t>
  </si>
  <si>
    <t xml:space="preserve">	320/08808</t>
  </si>
  <si>
    <t>430 lts</t>
  </si>
  <si>
    <t>30 lts</t>
  </si>
  <si>
    <t>16 lts</t>
  </si>
  <si>
    <t>32 lts</t>
  </si>
  <si>
    <t>API CJ-4</t>
  </si>
  <si>
    <t xml:space="preserve">EXCAVADORA JS370LC T2 INGLATERRA </t>
  </si>
  <si>
    <t xml:space="preserve">370LC T4F INGLATERRA </t>
  </si>
  <si>
    <t xml:space="preserve">370LC T2 CHINA </t>
  </si>
  <si>
    <t xml:space="preserve">	334/C4887 </t>
  </si>
  <si>
    <t>320/07446</t>
  </si>
  <si>
    <t xml:space="preserve">	320/07426 </t>
  </si>
  <si>
    <t xml:space="preserve">334/C4892 </t>
  </si>
  <si>
    <t xml:space="preserve">	32/925752</t>
  </si>
  <si>
    <t>32/925753</t>
  </si>
  <si>
    <t xml:space="preserve">	332/B1612</t>
  </si>
  <si>
    <t xml:space="preserve">335/G2061 </t>
  </si>
  <si>
    <t xml:space="preserve">335/D4436 </t>
  </si>
  <si>
    <t xml:space="preserve">332/B7467 </t>
  </si>
  <si>
    <t xml:space="preserve">335/G0556 </t>
  </si>
  <si>
    <t xml:space="preserve">30/926020 </t>
  </si>
  <si>
    <t>FILTRO DE RECIRCULACION DE CABINA</t>
  </si>
  <si>
    <t>32/925775</t>
  </si>
  <si>
    <t>FILTRO HIDRAULICO DE MARTILLO</t>
  </si>
  <si>
    <t>334/K2584</t>
  </si>
  <si>
    <t xml:space="preserve">334/K2584 </t>
  </si>
  <si>
    <t xml:space="preserve">CORREA DE TRANSMISION </t>
  </si>
  <si>
    <t>320/08808</t>
  </si>
  <si>
    <t>CORREA DE ACCESORIOS (VENTILADOR)</t>
  </si>
  <si>
    <t>320/08686</t>
  </si>
  <si>
    <t>25 lts</t>
  </si>
  <si>
    <t>14.5 lts</t>
  </si>
  <si>
    <t>45 lts</t>
  </si>
  <si>
    <t>CARGADOR FRONTAL 437ZX</t>
  </si>
  <si>
    <t>32/925413</t>
  </si>
  <si>
    <t>32/925932</t>
  </si>
  <si>
    <t xml:space="preserve">FILTRO COMBUSTIBLE SEPARADOR  </t>
  </si>
  <si>
    <t>32/925763</t>
  </si>
  <si>
    <t>32/925335</t>
  </si>
  <si>
    <t>32/925336</t>
  </si>
  <si>
    <t>RESPIRADERO DE TANQUE HYD</t>
  </si>
  <si>
    <t>332/P3040</t>
  </si>
  <si>
    <t>990/00090</t>
  </si>
  <si>
    <t>32/925905</t>
  </si>
  <si>
    <t>32/925905A</t>
  </si>
  <si>
    <t xml:space="preserve">332/U6212 </t>
  </si>
  <si>
    <t>400/17049</t>
  </si>
  <si>
    <t>580/12185</t>
  </si>
  <si>
    <t>210 lts</t>
  </si>
  <si>
    <t xml:space="preserve">20L </t>
  </si>
  <si>
    <t>32.5 lts</t>
  </si>
  <si>
    <t>ATF</t>
  </si>
  <si>
    <t>ACEITE DE EJES Y MANDOS FINALES (DELANTERO)</t>
  </si>
  <si>
    <t>35 lts</t>
  </si>
  <si>
    <t>80W90 LS</t>
  </si>
  <si>
    <t>ACEITE DE EJES Y MANDOS FINALES (POSTERIOR)</t>
  </si>
  <si>
    <t>Realizar el 1er cambio a las 100hrs, posteriormente en intervalo de 500hrs.</t>
  </si>
  <si>
    <t>Aceite para Ejes y Mand 80W90LS</t>
  </si>
  <si>
    <t>Aceite para Transmision JCB HP ATF UNIVERSAL</t>
  </si>
  <si>
    <t>4000/2305E</t>
  </si>
  <si>
    <t>CARGADOR FRONTAL 455ZX</t>
  </si>
  <si>
    <t>FILTRO  COMBUSTIBLE 2 MICRAS</t>
  </si>
  <si>
    <t xml:space="preserve">320/07446 </t>
  </si>
  <si>
    <t>FILTRO  COMBUSTIBLE 3 CAPAS 2 MICRAS</t>
  </si>
  <si>
    <t xml:space="preserve">FILTRO COMBUSTIBLE SEPARADOR  10 MICRAS </t>
  </si>
  <si>
    <t>320/07426 </t>
  </si>
  <si>
    <t>32/926107 </t>
  </si>
  <si>
    <t>32/901100</t>
  </si>
  <si>
    <t>333/U0200</t>
  </si>
  <si>
    <t>FILTRO RESPIRADERO DE CARTER (CVV)</t>
  </si>
  <si>
    <t xml:space="preserve">320/07853 </t>
  </si>
  <si>
    <t>CORREA TRANSMISION</t>
  </si>
  <si>
    <t>320/A8718</t>
  </si>
  <si>
    <t>320/08946</t>
  </si>
  <si>
    <t>580/12185 </t>
  </si>
  <si>
    <t>4002/0805</t>
  </si>
  <si>
    <t>38 lts</t>
  </si>
  <si>
    <t xml:space="preserve">10W30 </t>
  </si>
  <si>
    <t>ACEITE DE EJES Y MANDOS FINALES</t>
  </si>
  <si>
    <t>70 lts</t>
  </si>
  <si>
    <t>37 lts</t>
  </si>
  <si>
    <t>Realizar el 1er cambio a las 100hrs, posteriormente en intervalo de 1000hrs.</t>
  </si>
  <si>
    <t>EXCAVADORA JS385</t>
  </si>
  <si>
    <t>OIL FILTER- P672</t>
  </si>
  <si>
    <t>400/07434</t>
  </si>
  <si>
    <t>x</t>
  </si>
  <si>
    <t>FUEL FILTER ELEMENT</t>
  </si>
  <si>
    <t>FUEL FILTER</t>
  </si>
  <si>
    <t>401/P2841</t>
  </si>
  <si>
    <t>401/P2840</t>
  </si>
  <si>
    <t>400/Z7969</t>
  </si>
  <si>
    <t>FILTER ELEMENT</t>
  </si>
  <si>
    <t>:KNJO288</t>
  </si>
  <si>
    <t>Element Filter Hydraulic LF330</t>
  </si>
  <si>
    <t>FILTER FRESH AIR</t>
  </si>
  <si>
    <t>inyectores</t>
  </si>
  <si>
    <t>320/A6772</t>
  </si>
  <si>
    <t>RESPIRADERO DEL DEPOSITO HIDRAULICO</t>
  </si>
  <si>
    <t>PREFRILTO DE ASPIRACION</t>
  </si>
  <si>
    <t>32/925670</t>
  </si>
  <si>
    <t>LINE FILTER</t>
  </si>
  <si>
    <t>Filtro de ventilación del cárter (si está instalado)</t>
  </si>
  <si>
    <t>LATIGUILLOS DEL CILINDRO, LINEA DEL CAZO</t>
  </si>
  <si>
    <t>401/D1524</t>
  </si>
  <si>
    <t>SEGÚN SE REQUIERA</t>
  </si>
  <si>
    <t>402/L8085</t>
  </si>
  <si>
    <t>4002/0705</t>
  </si>
  <si>
    <t>425 litros</t>
  </si>
  <si>
    <t>4001/2905</t>
  </si>
  <si>
    <t>25 LITROS</t>
  </si>
  <si>
    <t>20LITROS</t>
  </si>
  <si>
    <t>22 cubetas de aceite</t>
  </si>
  <si>
    <t>4000/0305</t>
  </si>
  <si>
    <t>14.5 LITROS</t>
  </si>
  <si>
    <t>20 LITROS</t>
  </si>
  <si>
    <t>JCB HD90GEAR OIL</t>
  </si>
  <si>
    <t>10 LITROS</t>
  </si>
  <si>
    <t>4006/1120</t>
  </si>
  <si>
    <t>45LITROS</t>
  </si>
  <si>
    <t>2O LITROS</t>
  </si>
  <si>
    <t>DIENTES DEL ENGRANAJE DE LA CORONA DENTDA DE GIRO HORIZONTAL</t>
  </si>
  <si>
    <t>4003/1619</t>
  </si>
  <si>
    <t>COJINETE DEL ANILLO DE GIRO HORIZONTAL</t>
  </si>
  <si>
    <t>4003/2017</t>
  </si>
  <si>
    <t>Realizar el 1er cambio a las 250hrs, posteriormente en intervalo de 1000hrs, si las horas de traslado es igual o mayor al 20% del horometro cambiar a cada 500hrs</t>
  </si>
  <si>
    <t>numeros de parte que se han sustituido</t>
  </si>
  <si>
    <t>EXCAVADORA JS205L NXTFA</t>
  </si>
  <si>
    <t>programa de mantenimiento BT65</t>
  </si>
  <si>
    <t>periodo regulares de servicio (1) efectuar en cada uno de los intervalos en meses u horas de funcionamiento indicados, lo que se produzca antes</t>
  </si>
  <si>
    <t>cada uso</t>
  </si>
  <si>
    <t>primer mes o primeras 20 horas</t>
  </si>
  <si>
    <t>cada 3 meses o 50 horas</t>
  </si>
  <si>
    <t>capacidad</t>
  </si>
  <si>
    <t>cada 6 meses o 100 horas</t>
  </si>
  <si>
    <t>cada año o 200 horas</t>
  </si>
  <si>
    <t>consultar la pagina</t>
  </si>
  <si>
    <t xml:space="preserve">aceite de motor comprobar nivel </t>
  </si>
  <si>
    <t>aceite de motor cambiar</t>
  </si>
  <si>
    <t xml:space="preserve">SAE 10W-30 recomendable para uso general. </t>
  </si>
  <si>
    <t>15w40 como alternativa (excepto en caso de temperaturas bajas)</t>
  </si>
  <si>
    <t xml:space="preserve">filtro de aceite comprobar </t>
  </si>
  <si>
    <t>M</t>
  </si>
  <si>
    <t>Art.</t>
  </si>
  <si>
    <t>Pag.</t>
  </si>
  <si>
    <t>No. de pieza</t>
  </si>
  <si>
    <t>Description</t>
  </si>
  <si>
    <t>Cantidad</t>
  </si>
  <si>
    <t>filtro de aceite limpiar</t>
  </si>
  <si>
    <t>x(2)</t>
  </si>
  <si>
    <t>Mainetenance part</t>
  </si>
  <si>
    <t>SW10-Kit de servicio</t>
  </si>
  <si>
    <t>filtro de aceite cambiar</t>
  </si>
  <si>
    <t>0.28 Litros</t>
  </si>
  <si>
    <t>Descripción</t>
  </si>
  <si>
    <t>Grupo de la asamblea</t>
  </si>
  <si>
    <t>Número de pieza</t>
  </si>
  <si>
    <t>Comentario</t>
  </si>
  <si>
    <t>Elemento filtrante,aire</t>
  </si>
  <si>
    <t>bujia comprobar- ajustar</t>
  </si>
  <si>
    <t>manual taller</t>
  </si>
  <si>
    <t>Rodamiento de rod. oblícuos</t>
  </si>
  <si>
    <t>52.14/1</t>
  </si>
  <si>
    <t>Obturación, descarga de aceite</t>
  </si>
  <si>
    <t>bujia cambiar</t>
  </si>
  <si>
    <t>194.08/1</t>
  </si>
  <si>
    <t>Bujía</t>
  </si>
  <si>
    <t>correa de distribucion revisar</t>
  </si>
  <si>
    <t>tras 300 horas (3)(4)</t>
  </si>
  <si>
    <t>Elemento filtrante</t>
  </si>
  <si>
    <t>parachispas  (tipos aplicables) limpiar</t>
  </si>
  <si>
    <t>x se debe realizar por amc</t>
  </si>
  <si>
    <t>Trinquete de parada</t>
  </si>
  <si>
    <t>11.31/1</t>
  </si>
  <si>
    <t>Repair part</t>
  </si>
  <si>
    <t>Cable de arranque</t>
  </si>
  <si>
    <t>velocidad de relanti comprobar- ajustar</t>
  </si>
  <si>
    <t>x(3)</t>
  </si>
  <si>
    <t>Tornillo de cierre</t>
  </si>
  <si>
    <t>holgura de las valvulas comprobar- ajustar</t>
  </si>
  <si>
    <t>Correa dentada</t>
  </si>
  <si>
    <t>11.09/1</t>
  </si>
  <si>
    <t>Anillo de obturación</t>
  </si>
  <si>
    <t>camara de combustion limpiar</t>
  </si>
  <si>
    <t>tras 300 horas (3)</t>
  </si>
  <si>
    <t>Resorte</t>
  </si>
  <si>
    <t>Obturación</t>
  </si>
  <si>
    <t>deposito de combustible y filttro limpiar</t>
  </si>
  <si>
    <t>x (3)</t>
  </si>
  <si>
    <t xml:space="preserve">manual taller </t>
  </si>
  <si>
    <t>Filtro de combustible</t>
  </si>
  <si>
    <t>tubo de combustible comprobar</t>
  </si>
  <si>
    <t>cada 2 años (sustituir si fuera necesario) (3)</t>
  </si>
  <si>
    <t>Filtro exterior</t>
  </si>
  <si>
    <t>11.22/1</t>
  </si>
  <si>
    <t>Anillo obturador</t>
  </si>
  <si>
    <t>11.36/1</t>
  </si>
  <si>
    <t>* reeplace solo el tipo de elemento de papel</t>
  </si>
  <si>
    <t>Obturación, varilla de medicion aceite</t>
  </si>
  <si>
    <t>11.02/1</t>
  </si>
  <si>
    <t>(1) para aplicaciones comerciales, registre las horas</t>
  </si>
  <si>
    <t>Muelle recuperador</t>
  </si>
  <si>
    <t>11.25/1</t>
  </si>
  <si>
    <t xml:space="preserve">(2) realice el servicio con mayor frecuencia cuando lo utilice en zonas polvorientas. </t>
  </si>
  <si>
    <t>(3) el servicio de estas partes debera de acerlos su concesionario de servicio, a menos que usted disponga de las herramientas adecuadas y posea suficiente conocimiento mecanicos. Para ver los procedimientos de servicio, consulte el manual de taller honda.</t>
  </si>
  <si>
    <t>Filtro de desaireación</t>
  </si>
  <si>
    <t>11.07/1</t>
  </si>
  <si>
    <t xml:space="preserve">(4) compruebe que no haya grietas ni desgaste anormal en la correa, y reemplacela si esta anormal. </t>
  </si>
  <si>
    <t>Cartucho filtrante</t>
  </si>
  <si>
    <t>12.26/1</t>
  </si>
  <si>
    <t>Amortiguador de goma</t>
  </si>
  <si>
    <t>52.16/1</t>
  </si>
  <si>
    <t xml:space="preserve">de no sigue este programa de mantenimiento puede producirse fallos que no entran en garantia. </t>
  </si>
  <si>
    <t>Chapa de fondo</t>
  </si>
  <si>
    <t>165.21/1</t>
  </si>
  <si>
    <t>165.20/1</t>
  </si>
  <si>
    <t>165.22/1</t>
  </si>
  <si>
    <t>Placa apisonadora</t>
  </si>
  <si>
    <t>165.23/1</t>
  </si>
  <si>
    <t>65.11/1</t>
  </si>
  <si>
    <t>Fuelle</t>
  </si>
  <si>
    <t>154.70/1</t>
  </si>
  <si>
    <t>154.71/1</t>
  </si>
  <si>
    <t>154.73/1</t>
  </si>
  <si>
    <t>154.77/1</t>
  </si>
  <si>
    <t>Rodillo</t>
  </si>
  <si>
    <t>19.20/1</t>
  </si>
  <si>
    <t>29.10/1</t>
  </si>
  <si>
    <t>165.18/1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</si>
</sst>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22222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20"/>
      <color theme="1"/>
      <name val="Calibri"/>
      <family val="2"/>
      <scheme val="minor"/>
    </font>
    <font>
      <sz val="12"/>
      <color theme="8" tint="0.7999816888943144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BBBBB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7" xfId="0" applyFont="1" applyBorder="1"/>
    <xf numFmtId="0" fontId="6" fillId="3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5" xfId="0" applyFill="1" applyBorder="1"/>
    <xf numFmtId="0" fontId="0" fillId="2" borderId="5" xfId="0" applyFill="1" applyBorder="1"/>
    <xf numFmtId="0" fontId="3" fillId="2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8" borderId="8" xfId="0" applyFill="1" applyBorder="1" applyAlignment="1">
      <alignment horizontal="center" vertical="center"/>
    </xf>
    <xf numFmtId="0" fontId="0" fillId="8" borderId="7" xfId="0" applyFill="1" applyBorder="1"/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3" borderId="5" xfId="0" applyFill="1" applyBorder="1"/>
    <xf numFmtId="0" fontId="3" fillId="3" borderId="6" xfId="0" applyFont="1" applyFill="1" applyBorder="1" applyAlignment="1">
      <alignment horizontal="center" vertical="center"/>
    </xf>
    <xf numFmtId="0" fontId="0" fillId="9" borderId="5" xfId="0" applyFill="1" applyBorder="1"/>
    <xf numFmtId="0" fontId="3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8" borderId="5" xfId="0" applyFill="1" applyBorder="1"/>
    <xf numFmtId="0" fontId="3" fillId="8" borderId="6" xfId="0" applyFont="1" applyFill="1" applyBorder="1" applyAlignment="1">
      <alignment horizontal="center" vertical="center"/>
    </xf>
    <xf numFmtId="0" fontId="3" fillId="9" borderId="5" xfId="0" applyFont="1" applyFill="1" applyBorder="1"/>
    <xf numFmtId="0" fontId="3" fillId="9" borderId="1" xfId="0" applyFont="1" applyFill="1" applyBorder="1" applyAlignment="1">
      <alignment horizontal="center"/>
    </xf>
    <xf numFmtId="0" fontId="3" fillId="2" borderId="5" xfId="0" applyFont="1" applyFill="1" applyBorder="1"/>
    <xf numFmtId="0" fontId="3" fillId="8" borderId="5" xfId="0" applyFont="1" applyFill="1" applyBorder="1"/>
    <xf numFmtId="0" fontId="3" fillId="3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10" borderId="5" xfId="0" applyFont="1" applyFill="1" applyBorder="1"/>
    <xf numFmtId="0" fontId="3" fillId="10" borderId="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6" fillId="3" borderId="5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/>
    <xf numFmtId="0" fontId="3" fillId="5" borderId="2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 applyAlignment="1">
      <alignment horizontal="center" vertical="center"/>
    </xf>
    <xf numFmtId="0" fontId="0" fillId="5" borderId="5" xfId="0" applyFill="1" applyBorder="1"/>
    <xf numFmtId="0" fontId="0" fillId="5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23" xfId="0" applyFont="1" applyFill="1" applyBorder="1"/>
    <xf numFmtId="0" fontId="5" fillId="5" borderId="1" xfId="0" applyFont="1" applyFill="1" applyBorder="1" applyAlignment="1" applyProtection="1">
      <alignment horizontal="center" vertical="center" wrapText="1" readingOrder="1"/>
      <protection locked="0"/>
    </xf>
    <xf numFmtId="0" fontId="3" fillId="5" borderId="14" xfId="0" applyFont="1" applyFill="1" applyBorder="1" applyAlignment="1">
      <alignment vertical="center"/>
    </xf>
    <xf numFmtId="0" fontId="3" fillId="5" borderId="24" xfId="0" applyFont="1" applyFill="1" applyBorder="1"/>
    <xf numFmtId="0" fontId="5" fillId="5" borderId="27" xfId="0" applyFont="1" applyFill="1" applyBorder="1" applyAlignment="1" applyProtection="1">
      <alignment horizontal="center" vertical="center" wrapText="1" readingOrder="1"/>
      <protection locked="0"/>
    </xf>
    <xf numFmtId="0" fontId="3" fillId="5" borderId="20" xfId="0" applyFont="1" applyFill="1" applyBorder="1"/>
    <xf numFmtId="0" fontId="3" fillId="5" borderId="27" xfId="0" applyFont="1" applyFill="1" applyBorder="1" applyAlignment="1">
      <alignment horizontal="center" vertical="center"/>
    </xf>
    <xf numFmtId="0" fontId="3" fillId="5" borderId="0" xfId="0" applyFont="1" applyFill="1"/>
    <xf numFmtId="0" fontId="0" fillId="5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0" borderId="0" xfId="0" applyFont="1"/>
    <xf numFmtId="0" fontId="3" fillId="5" borderId="4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10" borderId="5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0" borderId="0" xfId="0" applyFont="1"/>
    <xf numFmtId="0" fontId="9" fillId="8" borderId="1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5" borderId="5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/>
    <xf numFmtId="0" fontId="3" fillId="0" borderId="10" xfId="0" applyFont="1" applyBorder="1" applyAlignment="1">
      <alignment horizontal="center" vertical="center"/>
    </xf>
    <xf numFmtId="0" fontId="0" fillId="0" borderId="1" xfId="0" applyBorder="1"/>
    <xf numFmtId="0" fontId="0" fillId="0" borderId="27" xfId="0" applyBorder="1"/>
    <xf numFmtId="0" fontId="9" fillId="3" borderId="1" xfId="0" applyFont="1" applyFill="1" applyBorder="1" applyAlignment="1">
      <alignment horizontal="center" vertical="center"/>
    </xf>
    <xf numFmtId="0" fontId="0" fillId="0" borderId="25" xfId="0" applyBorder="1"/>
    <xf numFmtId="0" fontId="3" fillId="5" borderId="3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5" borderId="27" xfId="0" applyFont="1" applyFill="1" applyBorder="1"/>
    <xf numFmtId="0" fontId="3" fillId="0" borderId="1" xfId="0" applyFont="1" applyBorder="1"/>
    <xf numFmtId="0" fontId="3" fillId="0" borderId="14" xfId="0" applyFont="1" applyBorder="1" applyAlignment="1">
      <alignment vertical="center"/>
    </xf>
    <xf numFmtId="0" fontId="3" fillId="5" borderId="1" xfId="0" applyFont="1" applyFill="1" applyBorder="1" applyAlignment="1">
      <alignment horizontal="center" wrapText="1"/>
    </xf>
    <xf numFmtId="0" fontId="3" fillId="7" borderId="5" xfId="0" applyFont="1" applyFill="1" applyBorder="1"/>
    <xf numFmtId="0" fontId="3" fillId="7" borderId="6" xfId="0" applyFont="1" applyFill="1" applyBorder="1" applyAlignment="1">
      <alignment horizontal="center" vertical="center"/>
    </xf>
    <xf numFmtId="0" fontId="0" fillId="7" borderId="0" xfId="0" applyFill="1"/>
    <xf numFmtId="0" fontId="14" fillId="5" borderId="0" xfId="0" applyFont="1" applyFill="1"/>
    <xf numFmtId="0" fontId="0" fillId="0" borderId="0" xfId="0" applyAlignment="1">
      <alignment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0" fillId="0" borderId="0" xfId="0" applyAlignment="1">
      <alignment vertical="top" wrapText="1"/>
    </xf>
    <xf numFmtId="0" fontId="15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3" fillId="5" borderId="1" xfId="0" applyFont="1" applyFill="1" applyBorder="1"/>
    <xf numFmtId="0" fontId="3" fillId="0" borderId="34" xfId="0" applyFont="1" applyBorder="1" applyAlignment="1">
      <alignment horizontal="center" vertical="center"/>
    </xf>
    <xf numFmtId="0" fontId="17" fillId="0" borderId="0" xfId="0" applyFont="1"/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11" borderId="5" xfId="0" applyFill="1" applyBorder="1"/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6" fillId="0" borderId="0" xfId="0" applyFont="1" applyAlignment="1">
      <alignment horizontal="left"/>
    </xf>
    <xf numFmtId="0" fontId="3" fillId="0" borderId="29" xfId="0" applyFont="1" applyBorder="1" applyAlignment="1">
      <alignment horizontal="center" vertical="center"/>
    </xf>
    <xf numFmtId="0" fontId="0" fillId="5" borderId="20" xfId="0" applyFill="1" applyBorder="1"/>
    <xf numFmtId="0" fontId="0" fillId="5" borderId="27" xfId="0" applyFill="1" applyBorder="1"/>
    <xf numFmtId="0" fontId="0" fillId="5" borderId="27" xfId="0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9" fillId="0" borderId="0" xfId="0" applyFont="1"/>
    <xf numFmtId="0" fontId="0" fillId="12" borderId="0" xfId="0" applyFill="1" applyAlignment="1">
      <alignment vertical="center" wrapText="1"/>
    </xf>
    <xf numFmtId="0" fontId="1" fillId="12" borderId="47" xfId="3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5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5" borderId="2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8" borderId="14" xfId="0" applyFont="1" applyFill="1" applyBorder="1"/>
    <xf numFmtId="0" fontId="3" fillId="8" borderId="46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0" fillId="5" borderId="0" xfId="0" applyFill="1"/>
    <xf numFmtId="0" fontId="3" fillId="0" borderId="5" xfId="0" applyFont="1" applyBorder="1" applyAlignment="1">
      <alignment wrapText="1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13" borderId="0" xfId="0" applyFill="1"/>
    <xf numFmtId="0" fontId="21" fillId="0" borderId="0" xfId="0" applyFont="1"/>
    <xf numFmtId="0" fontId="3" fillId="13" borderId="54" xfId="0" applyFont="1" applyFill="1" applyBorder="1" applyAlignment="1">
      <alignment horizontal="center" vertical="center"/>
    </xf>
    <xf numFmtId="0" fontId="3" fillId="13" borderId="54" xfId="0" applyFont="1" applyFill="1" applyBorder="1" applyAlignment="1">
      <alignment horizontal="center"/>
    </xf>
    <xf numFmtId="0" fontId="3" fillId="13" borderId="54" xfId="0" applyFont="1" applyFill="1" applyBorder="1" applyAlignment="1">
      <alignment horizontal="left" vertical="center"/>
    </xf>
    <xf numFmtId="0" fontId="3" fillId="4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0" xfId="0" applyFont="1"/>
    <xf numFmtId="0" fontId="3" fillId="0" borderId="1" xfId="0" applyFont="1" applyBorder="1" applyAlignment="1">
      <alignment vertical="center"/>
    </xf>
    <xf numFmtId="0" fontId="0" fillId="0" borderId="21" xfId="0" applyBorder="1"/>
    <xf numFmtId="0" fontId="20" fillId="3" borderId="28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20" fillId="3" borderId="38" xfId="0" applyFont="1" applyFill="1" applyBorder="1" applyAlignment="1">
      <alignment horizontal="center"/>
    </xf>
    <xf numFmtId="0" fontId="20" fillId="3" borderId="42" xfId="0" applyFont="1" applyFill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3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3" fillId="0" borderId="4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5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</cellXfs>
  <cellStyles count="4">
    <cellStyle name="Followed Hyperlink" xfId="2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DICE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00FF0-E61E-416C-A803-1C1DF328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201083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75C15-4EC2-4142-AE07-DB120704C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D6FFB-C1A2-4ECA-8521-22A3BA70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370DF2-1FA6-491F-A7F7-C46F89EE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072F6E-49C6-4BA6-A1B0-EF4DAA7A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201083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D93E1-C3FA-453E-9DBA-0DCDDE183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201083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16E85-2625-4B09-8761-D51BBF171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192679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9DCCE-7D10-49D3-A06A-A1A70264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12912"/>
          <a:ext cx="820208" cy="8202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192BD-DFA5-4AB9-A709-245DC44D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E26D5-2025-456C-AE31-3D81651A0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2C28A-FF8C-4CD1-B48B-B6E8961B8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88133-4CB3-44F8-9A82-3658C384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AAF66-9564-4106-8D25-7291FFCA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201083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49A5D-8854-4815-9617-F35AF39B2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B81245-68FA-4E1C-AC29-782544A8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8BCF0D-630D-4D4C-8A0A-385825807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F0B33D-B5E0-4084-8ABE-E158870D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823031</xdr:colOff>
      <xdr:row>4</xdr:row>
      <xdr:rowOff>3881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EF9E4-B1E2-87FC-346D-39F35E17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50"/>
          <a:ext cx="823031" cy="82303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C7E35-FEA4-46AF-ACAE-838756CAF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1F1CB-4764-432A-AC5E-F85FEA596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6B11B-EAB9-4F53-A2CC-4DF3CBB71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9550"/>
          <a:ext cx="820208" cy="8202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201083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D16BA-3E2C-4980-8252-B2F27EC57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1BBD5-0268-432E-83D2-A19E495F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192679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63E69-6971-49A9-AF8B-FC2CE744E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1706"/>
          <a:ext cx="820208" cy="82020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820208</xdr:colOff>
      <xdr:row>6</xdr:row>
      <xdr:rowOff>20108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A118F3-3082-4528-A963-6FC0166D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609600"/>
          <a:ext cx="820208" cy="82020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3574B-879A-4C1B-B150-9E97F6A43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BE6786-3528-476F-9A75-628363F1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4</xdr:row>
      <xdr:rowOff>1058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1607B-1310-4E69-B4C1-761CEFBD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200025"/>
          <a:ext cx="820208" cy="82020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820208</xdr:colOff>
      <xdr:row>3</xdr:row>
      <xdr:rowOff>192679</xdr:rowOff>
    </xdr:to>
    <xdr:pic>
      <xdr:nvPicPr>
        <xdr:cNvPr id="2" name="Gráfico 1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47EB5A-F790-4C0D-AC7B-9F145EEF1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820208" cy="82020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167570</xdr:rowOff>
    </xdr:from>
    <xdr:to>
      <xdr:col>0</xdr:col>
      <xdr:colOff>820208</xdr:colOff>
      <xdr:row>3</xdr:row>
      <xdr:rowOff>158750</xdr:rowOff>
    </xdr:to>
    <xdr:pic>
      <xdr:nvPicPr>
        <xdr:cNvPr id="3" name="Gráfico 2" descr="Hogar con rellen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01363-6631-BC52-07DF-58B2CE0FF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67570"/>
          <a:ext cx="820208" cy="820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09F9-2460-44E2-90E8-3A916D2403C3}">
  <dimension ref="B1:E34"/>
  <sheetViews>
    <sheetView workbookViewId="0"/>
  </sheetViews>
  <sheetFormatPr defaultColWidth="11" defaultRowHeight="15.75" x14ac:dyDescent="0.25"/>
  <cols>
    <col min="1" max="1" width="5" customWidth="1"/>
    <col min="2" max="2" width="20" customWidth="1"/>
    <col min="3" max="3" width="19.125" bestFit="1" customWidth="1"/>
    <col min="4" max="4" width="12.5" bestFit="1" customWidth="1"/>
  </cols>
  <sheetData>
    <row r="1" spans="2:5" ht="16.5" thickBot="1" x14ac:dyDescent="0.3"/>
    <row r="2" spans="2:5" x14ac:dyDescent="0.25">
      <c r="B2" s="205" t="s">
        <v>0</v>
      </c>
      <c r="C2" s="206"/>
      <c r="D2" s="206"/>
      <c r="E2" s="207"/>
    </row>
    <row r="3" spans="2:5" ht="16.5" thickBot="1" x14ac:dyDescent="0.3">
      <c r="B3" s="208"/>
      <c r="C3" s="209"/>
      <c r="D3" s="209"/>
      <c r="E3" s="210"/>
    </row>
    <row r="4" spans="2:5" x14ac:dyDescent="0.25">
      <c r="C4" s="174" t="s">
        <v>1</v>
      </c>
      <c r="D4" s="174" t="s">
        <v>2</v>
      </c>
    </row>
    <row r="5" spans="2:5" ht="15.6" customHeight="1" x14ac:dyDescent="0.25">
      <c r="C5" s="172" t="s">
        <v>3</v>
      </c>
      <c r="D5" s="173" t="s">
        <v>4</v>
      </c>
    </row>
    <row r="6" spans="2:5" ht="15.6" customHeight="1" x14ac:dyDescent="0.25">
      <c r="C6" s="172" t="s">
        <v>3</v>
      </c>
      <c r="D6" s="173" t="s">
        <v>5</v>
      </c>
    </row>
    <row r="7" spans="2:5" ht="15.6" customHeight="1" x14ac:dyDescent="0.25">
      <c r="C7" s="172" t="s">
        <v>3</v>
      </c>
      <c r="D7" s="173" t="s">
        <v>6</v>
      </c>
    </row>
    <row r="8" spans="2:5" ht="15.6" customHeight="1" x14ac:dyDescent="0.25">
      <c r="C8" s="172" t="s">
        <v>3</v>
      </c>
      <c r="D8" s="173" t="s">
        <v>7</v>
      </c>
    </row>
    <row r="9" spans="2:5" x14ac:dyDescent="0.25">
      <c r="C9" s="172" t="s">
        <v>8</v>
      </c>
      <c r="D9" s="173" t="s">
        <v>9</v>
      </c>
    </row>
    <row r="10" spans="2:5" x14ac:dyDescent="0.25">
      <c r="C10" s="172" t="s">
        <v>10</v>
      </c>
      <c r="D10" s="173" t="s">
        <v>11</v>
      </c>
    </row>
    <row r="11" spans="2:5" x14ac:dyDescent="0.25">
      <c r="C11" s="172" t="s">
        <v>10</v>
      </c>
      <c r="D11" s="173" t="s">
        <v>12</v>
      </c>
    </row>
    <row r="12" spans="2:5" x14ac:dyDescent="0.25">
      <c r="C12" s="172" t="s">
        <v>13</v>
      </c>
      <c r="D12" s="173" t="s">
        <v>14</v>
      </c>
    </row>
    <row r="13" spans="2:5" x14ac:dyDescent="0.25">
      <c r="C13" s="172" t="s">
        <v>15</v>
      </c>
      <c r="D13" s="173">
        <v>214</v>
      </c>
    </row>
    <row r="14" spans="2:5" x14ac:dyDescent="0.25">
      <c r="C14" s="172" t="s">
        <v>15</v>
      </c>
      <c r="D14" s="173">
        <v>1400</v>
      </c>
    </row>
    <row r="15" spans="2:5" x14ac:dyDescent="0.25">
      <c r="C15" s="172" t="s">
        <v>15</v>
      </c>
      <c r="D15" s="173" t="s">
        <v>16</v>
      </c>
    </row>
    <row r="16" spans="2:5" x14ac:dyDescent="0.25">
      <c r="C16" s="172" t="s">
        <v>15</v>
      </c>
      <c r="D16" s="173" t="s">
        <v>17</v>
      </c>
    </row>
    <row r="17" spans="3:4" x14ac:dyDescent="0.25">
      <c r="C17" s="172" t="s">
        <v>15</v>
      </c>
      <c r="D17" s="173" t="s">
        <v>18</v>
      </c>
    </row>
    <row r="18" spans="3:4" x14ac:dyDescent="0.25">
      <c r="C18" s="172" t="s">
        <v>19</v>
      </c>
      <c r="D18" s="173" t="s">
        <v>20</v>
      </c>
    </row>
    <row r="19" spans="3:4" x14ac:dyDescent="0.25">
      <c r="C19" s="172" t="s">
        <v>19</v>
      </c>
      <c r="D19" s="173" t="s">
        <v>21</v>
      </c>
    </row>
    <row r="20" spans="3:4" x14ac:dyDescent="0.25">
      <c r="C20" s="172" t="s">
        <v>19</v>
      </c>
      <c r="D20" s="173" t="s">
        <v>22</v>
      </c>
    </row>
    <row r="21" spans="3:4" x14ac:dyDescent="0.25">
      <c r="C21" s="172" t="s">
        <v>19</v>
      </c>
      <c r="D21" s="173" t="s">
        <v>23</v>
      </c>
    </row>
    <row r="22" spans="3:4" x14ac:dyDescent="0.25">
      <c r="C22" s="172" t="s">
        <v>19</v>
      </c>
      <c r="D22" s="173" t="s">
        <v>24</v>
      </c>
    </row>
    <row r="23" spans="3:4" x14ac:dyDescent="0.25">
      <c r="C23" s="172" t="s">
        <v>19</v>
      </c>
      <c r="D23" s="173" t="s">
        <v>25</v>
      </c>
    </row>
    <row r="24" spans="3:4" x14ac:dyDescent="0.25">
      <c r="C24" s="172" t="s">
        <v>26</v>
      </c>
      <c r="D24" s="173" t="s">
        <v>27</v>
      </c>
    </row>
    <row r="25" spans="3:4" x14ac:dyDescent="0.25">
      <c r="C25" s="172" t="s">
        <v>28</v>
      </c>
      <c r="D25" s="173" t="s">
        <v>29</v>
      </c>
    </row>
    <row r="26" spans="3:4" x14ac:dyDescent="0.25">
      <c r="C26" s="172" t="s">
        <v>28</v>
      </c>
      <c r="D26" s="173" t="s">
        <v>30</v>
      </c>
    </row>
    <row r="27" spans="3:4" x14ac:dyDescent="0.25">
      <c r="C27" s="172" t="s">
        <v>28</v>
      </c>
      <c r="D27" s="173" t="s">
        <v>31</v>
      </c>
    </row>
    <row r="28" spans="3:4" x14ac:dyDescent="0.25">
      <c r="C28" s="172" t="s">
        <v>28</v>
      </c>
      <c r="D28" s="173" t="s">
        <v>32</v>
      </c>
    </row>
    <row r="29" spans="3:4" x14ac:dyDescent="0.25">
      <c r="C29" s="172" t="s">
        <v>28</v>
      </c>
      <c r="D29" s="173" t="s">
        <v>33</v>
      </c>
    </row>
    <row r="30" spans="3:4" x14ac:dyDescent="0.25">
      <c r="C30" s="172" t="s">
        <v>28</v>
      </c>
      <c r="D30" s="173" t="s">
        <v>34</v>
      </c>
    </row>
    <row r="31" spans="3:4" x14ac:dyDescent="0.25">
      <c r="C31" s="172" t="s">
        <v>28</v>
      </c>
      <c r="D31" s="173" t="s">
        <v>35</v>
      </c>
    </row>
    <row r="32" spans="3:4" x14ac:dyDescent="0.25">
      <c r="C32" s="172" t="s">
        <v>28</v>
      </c>
      <c r="D32" s="173" t="s">
        <v>36</v>
      </c>
    </row>
    <row r="33" spans="3:4" x14ac:dyDescent="0.25">
      <c r="C33" s="172" t="s">
        <v>37</v>
      </c>
      <c r="D33" s="173" t="s">
        <v>38</v>
      </c>
    </row>
    <row r="34" spans="3:4" x14ac:dyDescent="0.25">
      <c r="C34" s="172" t="s">
        <v>37</v>
      </c>
      <c r="D34" s="173" t="s">
        <v>39</v>
      </c>
    </row>
  </sheetData>
  <mergeCells count="1">
    <mergeCell ref="B2:E3"/>
  </mergeCells>
  <hyperlinks>
    <hyperlink ref="D5" location="'SSL190'!A1" display="SSL90" xr:uid="{4D1CA843-B099-4E34-8644-33A8A2E48F30}"/>
    <hyperlink ref="D6" location="'SSL225'!A1" display="SSL225" xr:uid="{CC2C59F4-22F0-49DF-B5AC-7CD27E211D82}"/>
    <hyperlink ref="D7" location="'SSL250'!A1" display="SSL250" xr:uid="{581D40BC-A6DA-48D8-915E-C753C93DD562}"/>
    <hyperlink ref="D8" location="'SSL270'!A1" display="SSL270" xr:uid="{8527CED2-2200-42B8-B4A5-8E59A335705B}"/>
    <hyperlink ref="D9" location="TLT35D!A1" display="TLT35D" xr:uid="{616C3D19-7ADD-48C6-B77D-4C67C16C83DE}"/>
    <hyperlink ref="D10" location="'VM115'!A1" display="VM115" xr:uid="{45CD782D-9685-4EF0-8B35-8131FB8EF981}"/>
    <hyperlink ref="D11" location="'VM116'!A1" display="VM116" xr:uid="{7AF69ABF-3B84-4BFB-B501-1FC2F8F26598}"/>
    <hyperlink ref="D12" location="'214'!A1" display="1CX" xr:uid="{E554E81A-7F0B-4E18-AAEB-BDA665A958A6}"/>
    <hyperlink ref="D13" location="'214'!A1" display="'214'!A1" xr:uid="{0DA4C460-2613-4DF8-A91F-4013201F4EC2}"/>
    <hyperlink ref="D14" location="'214'!A1" display="'214'!A1" xr:uid="{27568803-5C42-415B-A1F3-96524D76DB8F}"/>
    <hyperlink ref="D15" location="'3CXGLOBAL'!A1" display="3CX GLOBAL" xr:uid="{E00C1EA7-457E-49DF-9DC4-14F5B9BE16FF}"/>
    <hyperlink ref="D16" location="'3CXECO'!A1" display="3CX ECO" xr:uid="{1D5B6790-ACE0-4C77-AE2F-24DFC7283CE9}"/>
    <hyperlink ref="D17" location="'3CXECOADVANCE'!A1" display="3CX ADVANCE" xr:uid="{C5B4863F-D671-4617-AF04-779C8034D648}"/>
    <hyperlink ref="D18" location="'THL 540-140'!A1" display="THL540-140" xr:uid="{4AB51BD7-423B-4E78-96C7-402CC1C86736}"/>
    <hyperlink ref="D19" location="'THL 540-170'!A1" display="THL540-170" xr:uid="{54DC75ED-3B22-4AA1-9358-DDCC9500BDD5}"/>
    <hyperlink ref="D20" location="'THL 540-170&gt;21'!A1" display="THL-170&gt;21" xr:uid="{251850B3-2726-44BC-A0D3-44C1891BFA37}"/>
    <hyperlink ref="D21" location="'THL 531-70'!A1" display="THL 531-70" xr:uid="{6EDC753C-FF38-45AC-A6C2-DF06E10CE952}"/>
    <hyperlink ref="D22" location="'THL 531-70AG'!A1" display="THL531-70AG" xr:uid="{04A6F7A7-CED9-448B-B9C7-5BDD09642461}"/>
    <hyperlink ref="D23" location="'THL 508'!A1" display="THL 508" xr:uid="{6C2C7E49-474B-4DFF-B693-F859A084DA75}"/>
    <hyperlink ref="D24" location="'THL 508'!A1" display="8030ZTS" xr:uid="{6AEC0989-6B40-4ED4-94A4-17C95585044F}"/>
    <hyperlink ref="D25" location="'JS200'!A1" display="JS200" xr:uid="{DD0468F5-3E2C-4474-BD7C-A8480351B4A3}"/>
    <hyperlink ref="D26" location="JS205LC!A1" display="JS205LC" xr:uid="{B236B051-620A-4C2A-8365-41E75109E531}"/>
    <hyperlink ref="D27" location="'JS205LC&gt;20'!A1" display="JS205LC&gt;20" xr:uid="{A7B981B2-778E-4D13-9E94-BE29D20F7CEB}"/>
    <hyperlink ref="D28" location="JS205NXT!A1" display="JS205NST" xr:uid="{3DE2213A-729F-4066-B7D7-E211B90F3F56}"/>
    <hyperlink ref="D29" location="'JS220LC '!A1" display="JS220LC" xr:uid="{8FC07394-BCC2-4F17-9548-C06BC6411B00}"/>
    <hyperlink ref="D30" location="'JS220LC&gt;20'!A1" display="JS220LC&gt;20" xr:uid="{1DAB6135-592E-4F4F-95E8-2444873238A1}"/>
    <hyperlink ref="D31" location="JS305LC!A1" display="JS305LC" xr:uid="{3D406FF1-E8A6-4C6F-84E3-168F2058DACB}"/>
    <hyperlink ref="D32" location="JS370LC!A1" display="JS370LC" xr:uid="{90450F02-DD3F-4F0A-A177-76900F19A461}"/>
    <hyperlink ref="D33" location="'437ZX'!A1" display="437ZX" xr:uid="{583779FD-1DA7-4107-9EE4-2CC44036BCE6}"/>
    <hyperlink ref="D34" location="'455ZX'!A1" display="455ZX" xr:uid="{51398B69-33B4-4817-86DF-C5EAAFA119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C963-CCBD-4DED-A424-E53D7D287CD2}">
  <dimension ref="B1:L24"/>
  <sheetViews>
    <sheetView workbookViewId="0">
      <selection activeCell="C13" sqref="C13"/>
    </sheetView>
  </sheetViews>
  <sheetFormatPr defaultColWidth="11" defaultRowHeight="15.75" x14ac:dyDescent="0.25"/>
  <cols>
    <col min="2" max="2" width="41.875" bestFit="1" customWidth="1"/>
    <col min="6" max="6" width="5" customWidth="1"/>
    <col min="7" max="7" width="4.875" customWidth="1"/>
    <col min="8" max="8" width="6.25" customWidth="1"/>
    <col min="9" max="9" width="5.875" customWidth="1"/>
    <col min="10" max="10" width="5.25" customWidth="1"/>
    <col min="11" max="11" width="5.5" customWidth="1"/>
  </cols>
  <sheetData>
    <row r="1" spans="2:12" ht="16.5" thickBot="1" x14ac:dyDescent="0.3">
      <c r="C1" s="1"/>
      <c r="D1" s="1"/>
      <c r="E1" s="1"/>
      <c r="F1" s="1"/>
      <c r="G1" s="1"/>
      <c r="H1" s="1"/>
      <c r="I1" s="1"/>
      <c r="J1" s="1"/>
      <c r="K1" s="1"/>
    </row>
    <row r="2" spans="2:12" ht="32.25" thickBot="1" x14ac:dyDescent="0.55000000000000004">
      <c r="B2" s="211" t="s">
        <v>40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thickBot="1" x14ac:dyDescent="0.3">
      <c r="B3" s="216" t="s">
        <v>41</v>
      </c>
      <c r="C3" s="218" t="s">
        <v>42</v>
      </c>
      <c r="D3" s="220" t="s">
        <v>43</v>
      </c>
      <c r="E3" s="222" t="s">
        <v>44</v>
      </c>
      <c r="F3" s="224" t="s">
        <v>45</v>
      </c>
      <c r="G3" s="225"/>
      <c r="H3" s="225"/>
      <c r="I3" s="225"/>
      <c r="J3" s="226"/>
      <c r="K3" s="227"/>
      <c r="L3" s="214" t="s">
        <v>46</v>
      </c>
    </row>
    <row r="4" spans="2:12" ht="16.5" thickBot="1" x14ac:dyDescent="0.3">
      <c r="B4" s="217"/>
      <c r="C4" s="219"/>
      <c r="D4" s="221"/>
      <c r="E4" s="223"/>
      <c r="F4" s="154">
        <v>250</v>
      </c>
      <c r="G4" s="154">
        <v>500</v>
      </c>
      <c r="H4" s="154">
        <v>1000</v>
      </c>
      <c r="I4" s="154">
        <v>2000</v>
      </c>
      <c r="J4" s="154">
        <v>3000</v>
      </c>
      <c r="K4" s="154">
        <v>5000</v>
      </c>
      <c r="L4" s="215"/>
    </row>
    <row r="5" spans="2:12" x14ac:dyDescent="0.25">
      <c r="B5" s="150" t="s">
        <v>47</v>
      </c>
      <c r="C5" s="151" t="s">
        <v>48</v>
      </c>
      <c r="D5" s="152">
        <v>1</v>
      </c>
      <c r="E5" s="155"/>
      <c r="F5" s="162" t="s">
        <v>49</v>
      </c>
      <c r="G5" s="90" t="s">
        <v>49</v>
      </c>
      <c r="H5" s="90" t="s">
        <v>49</v>
      </c>
      <c r="I5" s="90" t="s">
        <v>49</v>
      </c>
      <c r="J5" s="153" t="s">
        <v>49</v>
      </c>
      <c r="K5" s="163" t="s">
        <v>49</v>
      </c>
    </row>
    <row r="6" spans="2:12" x14ac:dyDescent="0.25">
      <c r="B6" s="81" t="s">
        <v>50</v>
      </c>
      <c r="C6" s="92" t="s">
        <v>51</v>
      </c>
      <c r="D6" s="82">
        <v>1</v>
      </c>
      <c r="E6" s="156"/>
      <c r="F6" s="164" t="s">
        <v>49</v>
      </c>
      <c r="G6" s="25" t="s">
        <v>49</v>
      </c>
      <c r="H6" s="25" t="s">
        <v>49</v>
      </c>
      <c r="I6" s="25" t="s">
        <v>49</v>
      </c>
      <c r="J6" s="14" t="s">
        <v>49</v>
      </c>
      <c r="K6" s="4" t="s">
        <v>49</v>
      </c>
    </row>
    <row r="7" spans="2:12" x14ac:dyDescent="0.25">
      <c r="B7" s="81" t="s">
        <v>52</v>
      </c>
      <c r="C7" s="92" t="s">
        <v>53</v>
      </c>
      <c r="D7" s="82">
        <v>1</v>
      </c>
      <c r="E7" s="156"/>
      <c r="F7" s="164"/>
      <c r="G7" s="25" t="s">
        <v>49</v>
      </c>
      <c r="H7" s="25" t="s">
        <v>49</v>
      </c>
      <c r="I7" s="25" t="s">
        <v>49</v>
      </c>
      <c r="J7" s="14" t="s">
        <v>49</v>
      </c>
      <c r="K7" s="4" t="s">
        <v>49</v>
      </c>
    </row>
    <row r="8" spans="2:12" x14ac:dyDescent="0.25">
      <c r="B8" s="81" t="s">
        <v>54</v>
      </c>
      <c r="C8" s="92" t="s">
        <v>55</v>
      </c>
      <c r="D8" s="82">
        <v>1</v>
      </c>
      <c r="E8" s="156"/>
      <c r="F8" s="164"/>
      <c r="G8" s="25"/>
      <c r="H8" s="25" t="s">
        <v>49</v>
      </c>
      <c r="I8" s="25" t="s">
        <v>49</v>
      </c>
      <c r="J8" s="14" t="s">
        <v>49</v>
      </c>
      <c r="K8" s="4" t="s">
        <v>49</v>
      </c>
    </row>
    <row r="9" spans="2:12" x14ac:dyDescent="0.25">
      <c r="B9" s="81" t="s">
        <v>56</v>
      </c>
      <c r="C9" s="92" t="s">
        <v>57</v>
      </c>
      <c r="D9" s="82">
        <v>1</v>
      </c>
      <c r="E9" s="156"/>
      <c r="F9" s="164"/>
      <c r="G9" s="25"/>
      <c r="H9" s="25" t="s">
        <v>49</v>
      </c>
      <c r="I9" s="25" t="s">
        <v>49</v>
      </c>
      <c r="J9" s="14" t="s">
        <v>49</v>
      </c>
      <c r="K9" s="4" t="s">
        <v>49</v>
      </c>
    </row>
    <row r="10" spans="2:12" x14ac:dyDescent="0.25">
      <c r="B10" s="81" t="s">
        <v>58</v>
      </c>
      <c r="C10" s="92" t="s">
        <v>59</v>
      </c>
      <c r="D10" s="82">
        <v>1</v>
      </c>
      <c r="E10" s="156"/>
      <c r="F10" s="164"/>
      <c r="G10" s="25" t="s">
        <v>49</v>
      </c>
      <c r="H10" s="25" t="s">
        <v>49</v>
      </c>
      <c r="I10" s="25" t="s">
        <v>49</v>
      </c>
      <c r="J10" s="14" t="s">
        <v>49</v>
      </c>
      <c r="K10" s="4" t="s">
        <v>49</v>
      </c>
    </row>
    <row r="11" spans="2:12" x14ac:dyDescent="0.25">
      <c r="B11" s="81" t="s">
        <v>60</v>
      </c>
      <c r="C11" s="92" t="s">
        <v>61</v>
      </c>
      <c r="D11" s="82">
        <v>1</v>
      </c>
      <c r="E11" s="156"/>
      <c r="F11" s="164"/>
      <c r="G11" s="25" t="s">
        <v>49</v>
      </c>
      <c r="H11" s="25" t="s">
        <v>49</v>
      </c>
      <c r="I11" s="25" t="s">
        <v>49</v>
      </c>
      <c r="J11" s="14" t="s">
        <v>49</v>
      </c>
      <c r="K11" s="4" t="s">
        <v>49</v>
      </c>
    </row>
    <row r="12" spans="2:12" x14ac:dyDescent="0.25">
      <c r="B12" s="3" t="s">
        <v>62</v>
      </c>
      <c r="C12" s="114" t="s">
        <v>63</v>
      </c>
      <c r="D12" s="2">
        <v>1</v>
      </c>
      <c r="E12" s="157"/>
      <c r="F12" s="165"/>
      <c r="G12" s="14"/>
      <c r="H12" s="14"/>
      <c r="I12" s="14"/>
      <c r="J12" s="14" t="s">
        <v>49</v>
      </c>
      <c r="K12" s="4"/>
    </row>
    <row r="13" spans="2:12" x14ac:dyDescent="0.25">
      <c r="B13" s="37" t="s">
        <v>64</v>
      </c>
      <c r="C13" s="24" t="s">
        <v>65</v>
      </c>
      <c r="D13" s="23"/>
      <c r="E13" s="158" t="s">
        <v>66</v>
      </c>
      <c r="F13" s="166" t="s">
        <v>49</v>
      </c>
      <c r="G13" s="24" t="s">
        <v>49</v>
      </c>
      <c r="H13" s="24" t="s">
        <v>49</v>
      </c>
      <c r="I13" s="24" t="s">
        <v>49</v>
      </c>
      <c r="J13" s="24" t="s">
        <v>49</v>
      </c>
      <c r="K13" s="32" t="s">
        <v>49</v>
      </c>
    </row>
    <row r="14" spans="2:12" x14ac:dyDescent="0.25">
      <c r="B14" s="38" t="s">
        <v>67</v>
      </c>
      <c r="C14" s="21" t="s">
        <v>68</v>
      </c>
      <c r="D14" s="20"/>
      <c r="E14" s="159" t="s">
        <v>66</v>
      </c>
      <c r="F14" s="167"/>
      <c r="G14" s="21"/>
      <c r="H14" s="21"/>
      <c r="I14" s="21" t="s">
        <v>49</v>
      </c>
      <c r="J14" s="21"/>
      <c r="K14" s="39"/>
    </row>
    <row r="15" spans="2:12" x14ac:dyDescent="0.25">
      <c r="B15" s="3" t="s">
        <v>69</v>
      </c>
      <c r="C15" s="2" t="s">
        <v>70</v>
      </c>
      <c r="D15" s="2"/>
      <c r="E15" s="157" t="s">
        <v>71</v>
      </c>
      <c r="F15" s="165" t="s">
        <v>72</v>
      </c>
      <c r="G15" s="14" t="s">
        <v>72</v>
      </c>
      <c r="H15" s="14" t="s">
        <v>49</v>
      </c>
      <c r="I15" s="14" t="s">
        <v>49</v>
      </c>
      <c r="J15" s="14" t="s">
        <v>49</v>
      </c>
      <c r="K15" s="4" t="s">
        <v>49</v>
      </c>
    </row>
    <row r="16" spans="2:12" x14ac:dyDescent="0.25">
      <c r="B16" s="37" t="s">
        <v>73</v>
      </c>
      <c r="C16" s="24" t="s">
        <v>74</v>
      </c>
      <c r="D16" s="40"/>
      <c r="E16" s="160" t="s">
        <v>66</v>
      </c>
      <c r="F16" s="166"/>
      <c r="G16" s="24"/>
      <c r="H16" s="24" t="s">
        <v>49</v>
      </c>
      <c r="I16" s="24" t="s">
        <v>49</v>
      </c>
      <c r="J16" s="24" t="s">
        <v>49</v>
      </c>
      <c r="K16" s="32" t="s">
        <v>49</v>
      </c>
    </row>
    <row r="17" spans="2:11" ht="16.5" thickBot="1" x14ac:dyDescent="0.3">
      <c r="B17" s="42" t="s">
        <v>75</v>
      </c>
      <c r="C17" s="45">
        <v>5000072</v>
      </c>
      <c r="D17" s="41"/>
      <c r="E17" s="161" t="s">
        <v>66</v>
      </c>
      <c r="F17" s="168"/>
      <c r="G17" s="43"/>
      <c r="H17" s="43"/>
      <c r="I17" s="43" t="s">
        <v>49</v>
      </c>
      <c r="J17" s="43"/>
      <c r="K17" s="44"/>
    </row>
    <row r="18" spans="2:11" x14ac:dyDescent="0.25"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25">
      <c r="E19" t="s">
        <v>76</v>
      </c>
    </row>
    <row r="20" spans="2:11" x14ac:dyDescent="0.25">
      <c r="B20" s="36" t="s">
        <v>77</v>
      </c>
      <c r="C20" s="1"/>
      <c r="D20" s="21" t="s">
        <v>68</v>
      </c>
      <c r="E20" s="21" t="s">
        <v>78</v>
      </c>
      <c r="F20" s="21" t="s">
        <v>79</v>
      </c>
    </row>
    <row r="21" spans="2:11" x14ac:dyDescent="0.25">
      <c r="B21" s="36" t="s">
        <v>80</v>
      </c>
      <c r="C21" s="1"/>
      <c r="D21" s="24" t="s">
        <v>81</v>
      </c>
      <c r="E21" s="24" t="s">
        <v>74</v>
      </c>
    </row>
    <row r="22" spans="2:11" x14ac:dyDescent="0.25">
      <c r="B22" s="36" t="s">
        <v>82</v>
      </c>
      <c r="C22" s="1"/>
      <c r="D22" s="24" t="s">
        <v>81</v>
      </c>
      <c r="E22" s="24" t="s">
        <v>74</v>
      </c>
    </row>
    <row r="23" spans="2:11" x14ac:dyDescent="0.25">
      <c r="B23" s="36" t="s">
        <v>83</v>
      </c>
      <c r="C23" s="1"/>
      <c r="D23" s="45">
        <v>5000072</v>
      </c>
    </row>
    <row r="24" spans="2:11" x14ac:dyDescent="0.25">
      <c r="B24" s="36" t="s">
        <v>84</v>
      </c>
      <c r="C24" s="1"/>
      <c r="D24" s="46" t="s">
        <v>85</v>
      </c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9"/>
  <sheetViews>
    <sheetView workbookViewId="0">
      <selection activeCell="C14" sqref="C14"/>
    </sheetView>
  </sheetViews>
  <sheetFormatPr defaultColWidth="10.875" defaultRowHeight="15.75" x14ac:dyDescent="0.25"/>
  <cols>
    <col min="2" max="2" width="32.625" bestFit="1" customWidth="1"/>
    <col min="3" max="3" width="10.625" style="1" bestFit="1" customWidth="1"/>
    <col min="4" max="4" width="11.25" style="1" customWidth="1"/>
    <col min="5" max="5" width="10.875" style="1" customWidth="1"/>
    <col min="6" max="6" width="5.375" style="1" customWidth="1"/>
    <col min="7" max="11" width="5.375" style="1" bestFit="1" customWidth="1"/>
  </cols>
  <sheetData>
    <row r="1" spans="2:14" ht="16.5" thickBot="1" x14ac:dyDescent="0.3"/>
    <row r="2" spans="2:14" ht="32.25" thickBot="1" x14ac:dyDescent="0.55000000000000004">
      <c r="B2" s="211" t="s">
        <v>86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4" ht="16.5" thickBot="1" x14ac:dyDescent="0.3">
      <c r="B3" s="216" t="s">
        <v>41</v>
      </c>
      <c r="C3" s="218" t="s">
        <v>42</v>
      </c>
      <c r="D3" s="220" t="s">
        <v>43</v>
      </c>
      <c r="E3" s="222" t="s">
        <v>44</v>
      </c>
      <c r="F3" s="225"/>
      <c r="G3" s="225"/>
      <c r="H3" s="225"/>
      <c r="I3" s="225"/>
      <c r="J3" s="226"/>
      <c r="K3" s="227"/>
      <c r="L3" s="214" t="s">
        <v>46</v>
      </c>
    </row>
    <row r="4" spans="2:14" ht="21.7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3000</v>
      </c>
      <c r="K4" s="9">
        <v>5000</v>
      </c>
      <c r="L4" s="215"/>
      <c r="M4" s="111">
        <v>225</v>
      </c>
      <c r="N4" s="149">
        <v>190</v>
      </c>
    </row>
    <row r="5" spans="2:14" x14ac:dyDescent="0.25">
      <c r="B5" s="79" t="s">
        <v>47</v>
      </c>
      <c r="C5" s="107" t="s">
        <v>87</v>
      </c>
      <c r="D5" s="80">
        <v>1</v>
      </c>
      <c r="E5" s="80"/>
      <c r="F5" s="78" t="s">
        <v>49</v>
      </c>
      <c r="G5" s="78" t="s">
        <v>49</v>
      </c>
      <c r="H5" s="78" t="s">
        <v>49</v>
      </c>
      <c r="I5" s="78" t="s">
        <v>49</v>
      </c>
      <c r="J5" s="83" t="s">
        <v>49</v>
      </c>
      <c r="K5" s="113" t="s">
        <v>49</v>
      </c>
      <c r="L5" s="115"/>
      <c r="M5" s="107" t="s">
        <v>87</v>
      </c>
      <c r="N5" t="s">
        <v>48</v>
      </c>
    </row>
    <row r="6" spans="2:14" x14ac:dyDescent="0.25">
      <c r="B6" s="81" t="s">
        <v>50</v>
      </c>
      <c r="C6" s="82" t="s">
        <v>88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14" t="s">
        <v>49</v>
      </c>
      <c r="K6" s="11" t="s">
        <v>49</v>
      </c>
      <c r="L6" s="25" t="s">
        <v>89</v>
      </c>
      <c r="M6" s="82" t="s">
        <v>88</v>
      </c>
      <c r="N6" t="s">
        <v>51</v>
      </c>
    </row>
    <row r="7" spans="2:14" x14ac:dyDescent="0.25">
      <c r="B7" s="81" t="s">
        <v>90</v>
      </c>
      <c r="C7" s="82" t="s">
        <v>91</v>
      </c>
      <c r="D7" s="82">
        <v>1</v>
      </c>
      <c r="E7" s="82"/>
      <c r="F7" s="25" t="s">
        <v>49</v>
      </c>
      <c r="G7" s="25" t="s">
        <v>49</v>
      </c>
      <c r="H7" s="25" t="s">
        <v>49</v>
      </c>
      <c r="I7" s="25" t="s">
        <v>49</v>
      </c>
      <c r="J7" s="14" t="s">
        <v>49</v>
      </c>
      <c r="K7" s="11" t="s">
        <v>49</v>
      </c>
      <c r="L7" s="25" t="s">
        <v>92</v>
      </c>
      <c r="M7" s="82" t="s">
        <v>91</v>
      </c>
    </row>
    <row r="8" spans="2:14" x14ac:dyDescent="0.25">
      <c r="B8" s="81" t="s">
        <v>52</v>
      </c>
      <c r="C8" s="82" t="s">
        <v>93</v>
      </c>
      <c r="D8" s="82">
        <v>1</v>
      </c>
      <c r="E8" s="82"/>
      <c r="F8" s="25"/>
      <c r="G8" s="25" t="s">
        <v>49</v>
      </c>
      <c r="H8" s="25" t="s">
        <v>49</v>
      </c>
      <c r="I8" s="25" t="s">
        <v>49</v>
      </c>
      <c r="J8" s="14" t="s">
        <v>49</v>
      </c>
      <c r="K8" s="11" t="s">
        <v>49</v>
      </c>
      <c r="L8" s="114"/>
      <c r="M8" s="110" t="s">
        <v>94</v>
      </c>
      <c r="N8" t="s">
        <v>53</v>
      </c>
    </row>
    <row r="9" spans="2:14" x14ac:dyDescent="0.25">
      <c r="B9" s="81" t="s">
        <v>54</v>
      </c>
      <c r="C9" s="82" t="s">
        <v>95</v>
      </c>
      <c r="D9" s="82">
        <v>1</v>
      </c>
      <c r="E9" s="82"/>
      <c r="F9" s="25"/>
      <c r="G9" s="25"/>
      <c r="H9" s="25" t="s">
        <v>49</v>
      </c>
      <c r="I9" s="25" t="s">
        <v>49</v>
      </c>
      <c r="J9" s="14" t="s">
        <v>49</v>
      </c>
      <c r="K9" s="11" t="s">
        <v>49</v>
      </c>
      <c r="L9" s="114"/>
      <c r="M9" s="110" t="s">
        <v>96</v>
      </c>
      <c r="N9" t="s">
        <v>55</v>
      </c>
    </row>
    <row r="10" spans="2:14" x14ac:dyDescent="0.25">
      <c r="B10" s="81" t="s">
        <v>56</v>
      </c>
      <c r="C10" s="82" t="s">
        <v>57</v>
      </c>
      <c r="D10" s="82">
        <v>1</v>
      </c>
      <c r="E10" s="82"/>
      <c r="F10" s="25"/>
      <c r="G10" s="25"/>
      <c r="H10" s="25" t="s">
        <v>49</v>
      </c>
      <c r="I10" s="25" t="s">
        <v>49</v>
      </c>
      <c r="J10" s="14" t="s">
        <v>49</v>
      </c>
      <c r="K10" s="11" t="s">
        <v>49</v>
      </c>
      <c r="L10" s="114"/>
      <c r="M10" t="s">
        <v>97</v>
      </c>
      <c r="N10" t="s">
        <v>57</v>
      </c>
    </row>
    <row r="11" spans="2:14" x14ac:dyDescent="0.25">
      <c r="B11" s="81" t="s">
        <v>58</v>
      </c>
      <c r="C11" s="82" t="s">
        <v>59</v>
      </c>
      <c r="D11" s="82">
        <v>1</v>
      </c>
      <c r="E11" s="82"/>
      <c r="F11" s="25"/>
      <c r="G11" s="25" t="s">
        <v>49</v>
      </c>
      <c r="H11" s="25" t="s">
        <v>49</v>
      </c>
      <c r="I11" s="25" t="s">
        <v>49</v>
      </c>
      <c r="J11" s="14" t="s">
        <v>49</v>
      </c>
      <c r="K11" s="11" t="s">
        <v>49</v>
      </c>
      <c r="L11" s="114"/>
      <c r="M11" t="s">
        <v>98</v>
      </c>
      <c r="N11" t="s">
        <v>59</v>
      </c>
    </row>
    <row r="12" spans="2:14" x14ac:dyDescent="0.25">
      <c r="B12" s="81" t="s">
        <v>60</v>
      </c>
      <c r="C12" s="82" t="s">
        <v>99</v>
      </c>
      <c r="D12" s="82">
        <v>1</v>
      </c>
      <c r="E12" s="82"/>
      <c r="F12" s="25"/>
      <c r="G12" s="25" t="s">
        <v>49</v>
      </c>
      <c r="H12" s="25" t="s">
        <v>49</v>
      </c>
      <c r="I12" s="25" t="s">
        <v>49</v>
      </c>
      <c r="J12" s="14" t="s">
        <v>49</v>
      </c>
      <c r="K12" s="11" t="s">
        <v>49</v>
      </c>
      <c r="L12" s="114"/>
      <c r="M12" t="s">
        <v>100</v>
      </c>
      <c r="N12" t="s">
        <v>61</v>
      </c>
    </row>
    <row r="13" spans="2:14" x14ac:dyDescent="0.25">
      <c r="B13" s="3" t="s">
        <v>62</v>
      </c>
      <c r="C13" s="2" t="s">
        <v>101</v>
      </c>
      <c r="D13" s="2">
        <v>1</v>
      </c>
      <c r="E13" s="2"/>
      <c r="F13" s="14"/>
      <c r="G13" s="14"/>
      <c r="H13" s="14"/>
      <c r="I13" s="14"/>
      <c r="J13" s="14" t="s">
        <v>49</v>
      </c>
      <c r="K13" s="11"/>
      <c r="L13" s="2" t="s">
        <v>102</v>
      </c>
      <c r="M13" t="s">
        <v>103</v>
      </c>
      <c r="N13" t="s">
        <v>63</v>
      </c>
    </row>
    <row r="14" spans="2:14" x14ac:dyDescent="0.25">
      <c r="B14" s="37" t="s">
        <v>64</v>
      </c>
      <c r="C14" s="24" t="s">
        <v>65</v>
      </c>
      <c r="D14" s="23" t="s">
        <v>104</v>
      </c>
      <c r="E14" s="23" t="s">
        <v>66</v>
      </c>
      <c r="F14" s="24" t="s">
        <v>49</v>
      </c>
      <c r="G14" s="24" t="s">
        <v>49</v>
      </c>
      <c r="H14" s="24" t="s">
        <v>49</v>
      </c>
      <c r="I14" s="24" t="s">
        <v>49</v>
      </c>
      <c r="J14" s="24" t="s">
        <v>49</v>
      </c>
      <c r="K14" s="32" t="s">
        <v>49</v>
      </c>
      <c r="L14" s="8" t="s">
        <v>105</v>
      </c>
    </row>
    <row r="15" spans="2:14" x14ac:dyDescent="0.25">
      <c r="B15" s="38" t="s">
        <v>67</v>
      </c>
      <c r="C15" s="21" t="s">
        <v>68</v>
      </c>
      <c r="D15" s="20" t="s">
        <v>106</v>
      </c>
      <c r="E15" s="20" t="s">
        <v>66</v>
      </c>
      <c r="F15" s="21"/>
      <c r="G15" s="21"/>
      <c r="H15" s="21"/>
      <c r="I15" s="21" t="s">
        <v>49</v>
      </c>
      <c r="J15" s="21"/>
      <c r="K15" s="39"/>
      <c r="L15" s="8">
        <v>46</v>
      </c>
    </row>
    <row r="16" spans="2:14" x14ac:dyDescent="0.25">
      <c r="B16" s="3" t="s">
        <v>69</v>
      </c>
      <c r="C16" s="2" t="s">
        <v>70</v>
      </c>
      <c r="D16" s="2" t="s">
        <v>107</v>
      </c>
      <c r="E16" s="2" t="s">
        <v>71</v>
      </c>
      <c r="F16" s="14" t="s">
        <v>72</v>
      </c>
      <c r="G16" s="14" t="s">
        <v>72</v>
      </c>
      <c r="H16" s="14" t="s">
        <v>49</v>
      </c>
      <c r="I16" s="14" t="s">
        <v>49</v>
      </c>
      <c r="J16" s="14" t="s">
        <v>49</v>
      </c>
      <c r="K16" s="4" t="s">
        <v>49</v>
      </c>
      <c r="L16" s="8" t="s">
        <v>108</v>
      </c>
    </row>
    <row r="17" spans="2:12" x14ac:dyDescent="0.25">
      <c r="B17" s="37" t="s">
        <v>73</v>
      </c>
      <c r="C17" s="24" t="s">
        <v>74</v>
      </c>
      <c r="D17" s="40">
        <v>50</v>
      </c>
      <c r="E17" s="40" t="s">
        <v>66</v>
      </c>
      <c r="F17" s="24"/>
      <c r="G17" s="24"/>
      <c r="H17" s="24" t="s">
        <v>49</v>
      </c>
      <c r="I17" s="24" t="s">
        <v>49</v>
      </c>
      <c r="J17" s="24" t="s">
        <v>49</v>
      </c>
      <c r="K17" s="32" t="s">
        <v>49</v>
      </c>
      <c r="L17" s="8" t="s">
        <v>105</v>
      </c>
    </row>
    <row r="18" spans="2:12" ht="16.5" thickBot="1" x14ac:dyDescent="0.3">
      <c r="B18" s="42" t="s">
        <v>75</v>
      </c>
      <c r="C18" s="45">
        <v>5000072</v>
      </c>
      <c r="D18" s="41" t="s">
        <v>109</v>
      </c>
      <c r="E18" s="41" t="s">
        <v>66</v>
      </c>
      <c r="F18" s="43"/>
      <c r="G18" s="43"/>
      <c r="H18" s="43"/>
      <c r="I18" s="43" t="s">
        <v>49</v>
      </c>
      <c r="J18" s="43"/>
      <c r="K18" s="44"/>
      <c r="L18" s="8" t="s">
        <v>110</v>
      </c>
    </row>
    <row r="20" spans="2:12" x14ac:dyDescent="0.25">
      <c r="C20"/>
      <c r="D20"/>
      <c r="E20" t="s">
        <v>76</v>
      </c>
      <c r="F20"/>
      <c r="G20"/>
      <c r="H20"/>
      <c r="I20"/>
      <c r="J20"/>
      <c r="K20"/>
    </row>
    <row r="21" spans="2:12" x14ac:dyDescent="0.25">
      <c r="B21" s="36" t="s">
        <v>77</v>
      </c>
      <c r="D21" s="21" t="s">
        <v>79</v>
      </c>
      <c r="E21" s="21" t="s">
        <v>78</v>
      </c>
      <c r="F21" s="105"/>
      <c r="G21"/>
      <c r="H21"/>
      <c r="I21"/>
      <c r="J21"/>
      <c r="K21"/>
    </row>
    <row r="22" spans="2:12" x14ac:dyDescent="0.25">
      <c r="B22" s="36" t="s">
        <v>80</v>
      </c>
      <c r="D22" s="24" t="s">
        <v>74</v>
      </c>
      <c r="E22"/>
      <c r="F22"/>
      <c r="G22"/>
      <c r="H22"/>
      <c r="I22"/>
      <c r="J22"/>
      <c r="K22"/>
    </row>
    <row r="23" spans="2:12" x14ac:dyDescent="0.25">
      <c r="B23" s="36" t="s">
        <v>82</v>
      </c>
      <c r="D23" s="24" t="s">
        <v>74</v>
      </c>
      <c r="E23"/>
      <c r="F23"/>
      <c r="G23"/>
      <c r="H23"/>
      <c r="I23"/>
      <c r="J23"/>
      <c r="K23"/>
    </row>
    <row r="24" spans="2:12" x14ac:dyDescent="0.25">
      <c r="B24" s="36" t="s">
        <v>83</v>
      </c>
      <c r="D24" s="45">
        <v>5000072</v>
      </c>
      <c r="E24"/>
      <c r="F24"/>
      <c r="G24"/>
      <c r="H24"/>
      <c r="I24"/>
      <c r="J24"/>
      <c r="K24"/>
    </row>
    <row r="25" spans="2:12" x14ac:dyDescent="0.25">
      <c r="B25" s="36" t="s">
        <v>84</v>
      </c>
      <c r="D25" s="46" t="s">
        <v>85</v>
      </c>
      <c r="E25"/>
      <c r="F25"/>
      <c r="G25"/>
      <c r="H25"/>
      <c r="I25"/>
      <c r="J25"/>
      <c r="K25"/>
    </row>
    <row r="27" spans="2:12" x14ac:dyDescent="0.25">
      <c r="C27" s="228"/>
      <c r="D27" s="228"/>
      <c r="E27" s="228"/>
    </row>
    <row r="28" spans="2:12" x14ac:dyDescent="0.25">
      <c r="C28" s="228"/>
      <c r="D28" s="228"/>
      <c r="E28" s="228"/>
    </row>
    <row r="29" spans="2:12" x14ac:dyDescent="0.25">
      <c r="B29" s="108"/>
      <c r="C29" s="108"/>
      <c r="D29"/>
      <c r="E29"/>
    </row>
  </sheetData>
  <mergeCells count="10">
    <mergeCell ref="B2:K2"/>
    <mergeCell ref="L3:L4"/>
    <mergeCell ref="C27:C28"/>
    <mergeCell ref="D27:D28"/>
    <mergeCell ref="E27:E28"/>
    <mergeCell ref="B3:B4"/>
    <mergeCell ref="C3:C4"/>
    <mergeCell ref="D3:D4"/>
    <mergeCell ref="F3:K3"/>
    <mergeCell ref="E3:E4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60E0-768B-4A37-AB93-C31CD3BFCD1A}">
  <dimension ref="B1:P25"/>
  <sheetViews>
    <sheetView zoomScale="85" zoomScaleNormal="85" workbookViewId="0">
      <selection activeCell="C14" sqref="C14"/>
    </sheetView>
  </sheetViews>
  <sheetFormatPr defaultColWidth="11" defaultRowHeight="15.75" x14ac:dyDescent="0.25"/>
  <cols>
    <col min="2" max="2" width="41.875" bestFit="1" customWidth="1"/>
    <col min="6" max="7" width="3.875" bestFit="1" customWidth="1"/>
    <col min="8" max="11" width="4.875" bestFit="1" customWidth="1"/>
  </cols>
  <sheetData>
    <row r="1" spans="2:16" ht="16.5" thickBot="1" x14ac:dyDescent="0.3"/>
    <row r="2" spans="2:16" ht="32.25" thickBot="1" x14ac:dyDescent="0.55000000000000004">
      <c r="B2" s="211" t="s">
        <v>111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6" ht="16.5" thickBot="1" x14ac:dyDescent="0.3">
      <c r="B3" s="216" t="s">
        <v>41</v>
      </c>
      <c r="C3" s="218" t="s">
        <v>42</v>
      </c>
      <c r="D3" s="220" t="s">
        <v>43</v>
      </c>
      <c r="E3" s="222" t="s">
        <v>44</v>
      </c>
      <c r="F3" s="225"/>
      <c r="G3" s="225"/>
      <c r="H3" s="225"/>
      <c r="I3" s="225"/>
      <c r="J3" s="226"/>
      <c r="K3" s="227"/>
      <c r="L3" s="214" t="s">
        <v>46</v>
      </c>
    </row>
    <row r="4" spans="2:16" ht="16.5" thickBot="1" x14ac:dyDescent="0.3">
      <c r="B4" s="229"/>
      <c r="C4" s="233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3000</v>
      </c>
      <c r="K4" s="9">
        <v>5000</v>
      </c>
      <c r="L4" s="215"/>
    </row>
    <row r="5" spans="2:16" x14ac:dyDescent="0.25">
      <c r="B5" s="79" t="s">
        <v>47</v>
      </c>
      <c r="C5" s="82" t="s">
        <v>87</v>
      </c>
      <c r="D5" s="80">
        <v>1</v>
      </c>
      <c r="E5" s="80"/>
      <c r="F5" s="78" t="s">
        <v>49</v>
      </c>
      <c r="G5" s="78" t="s">
        <v>49</v>
      </c>
      <c r="H5" s="78" t="s">
        <v>49</v>
      </c>
      <c r="I5" s="78" t="s">
        <v>49</v>
      </c>
      <c r="J5" s="83" t="s">
        <v>49</v>
      </c>
      <c r="K5" s="113" t="s">
        <v>49</v>
      </c>
      <c r="L5" s="115"/>
    </row>
    <row r="6" spans="2:16" x14ac:dyDescent="0.25">
      <c r="B6" s="81" t="s">
        <v>50</v>
      </c>
      <c r="C6" s="82" t="s">
        <v>88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14" t="s">
        <v>49</v>
      </c>
      <c r="K6" s="11" t="s">
        <v>49</v>
      </c>
      <c r="L6" s="25" t="s">
        <v>89</v>
      </c>
    </row>
    <row r="7" spans="2:16" x14ac:dyDescent="0.25">
      <c r="B7" s="81" t="s">
        <v>90</v>
      </c>
      <c r="C7" s="82" t="s">
        <v>91</v>
      </c>
      <c r="D7" s="82">
        <v>1</v>
      </c>
      <c r="E7" s="82"/>
      <c r="F7" s="25" t="s">
        <v>49</v>
      </c>
      <c r="G7" s="25" t="s">
        <v>49</v>
      </c>
      <c r="H7" s="25" t="s">
        <v>49</v>
      </c>
      <c r="I7" s="25" t="s">
        <v>49</v>
      </c>
      <c r="J7" s="14" t="s">
        <v>49</v>
      </c>
      <c r="K7" s="11" t="s">
        <v>49</v>
      </c>
      <c r="L7" s="25" t="s">
        <v>92</v>
      </c>
    </row>
    <row r="8" spans="2:16" x14ac:dyDescent="0.25">
      <c r="B8" s="81" t="s">
        <v>52</v>
      </c>
      <c r="C8" s="82" t="s">
        <v>94</v>
      </c>
      <c r="D8" s="82">
        <v>1</v>
      </c>
      <c r="E8" s="82"/>
      <c r="F8" s="25"/>
      <c r="G8" s="25" t="s">
        <v>49</v>
      </c>
      <c r="H8" s="25" t="s">
        <v>49</v>
      </c>
      <c r="I8" s="25" t="s">
        <v>49</v>
      </c>
      <c r="J8" s="14" t="s">
        <v>49</v>
      </c>
      <c r="K8" s="11" t="s">
        <v>49</v>
      </c>
      <c r="L8" s="114"/>
    </row>
    <row r="9" spans="2:16" x14ac:dyDescent="0.25">
      <c r="B9" s="81" t="s">
        <v>54</v>
      </c>
      <c r="C9" s="82" t="s">
        <v>96</v>
      </c>
      <c r="D9" s="82">
        <v>1</v>
      </c>
      <c r="E9" s="82"/>
      <c r="F9" s="25"/>
      <c r="G9" s="25"/>
      <c r="H9" s="25" t="s">
        <v>49</v>
      </c>
      <c r="I9" s="25" t="s">
        <v>49</v>
      </c>
      <c r="J9" s="14" t="s">
        <v>49</v>
      </c>
      <c r="K9" s="11" t="s">
        <v>49</v>
      </c>
      <c r="L9" s="114"/>
    </row>
    <row r="10" spans="2:16" x14ac:dyDescent="0.25">
      <c r="B10" s="81" t="s">
        <v>56</v>
      </c>
      <c r="C10" s="82" t="s">
        <v>97</v>
      </c>
      <c r="D10" s="82">
        <v>1</v>
      </c>
      <c r="E10" s="82"/>
      <c r="F10" s="25"/>
      <c r="G10" s="25"/>
      <c r="H10" s="25" t="s">
        <v>49</v>
      </c>
      <c r="I10" s="25" t="s">
        <v>49</v>
      </c>
      <c r="J10" s="14" t="s">
        <v>49</v>
      </c>
      <c r="K10" s="11" t="s">
        <v>49</v>
      </c>
      <c r="L10" s="114"/>
    </row>
    <row r="11" spans="2:16" x14ac:dyDescent="0.25">
      <c r="B11" s="81" t="s">
        <v>58</v>
      </c>
      <c r="C11" s="82" t="s">
        <v>98</v>
      </c>
      <c r="D11" s="82">
        <v>1</v>
      </c>
      <c r="E11" s="82"/>
      <c r="F11" s="25"/>
      <c r="G11" s="25" t="s">
        <v>49</v>
      </c>
      <c r="H11" s="25" t="s">
        <v>49</v>
      </c>
      <c r="I11" s="25" t="s">
        <v>49</v>
      </c>
      <c r="J11" s="14" t="s">
        <v>49</v>
      </c>
      <c r="K11" s="11" t="s">
        <v>49</v>
      </c>
      <c r="L11" s="114"/>
    </row>
    <row r="12" spans="2:16" x14ac:dyDescent="0.25">
      <c r="B12" s="81" t="s">
        <v>60</v>
      </c>
      <c r="C12" s="82" t="s">
        <v>100</v>
      </c>
      <c r="D12" s="82">
        <v>1</v>
      </c>
      <c r="E12" s="82"/>
      <c r="F12" s="25"/>
      <c r="G12" s="25" t="s">
        <v>49</v>
      </c>
      <c r="H12" s="25" t="s">
        <v>49</v>
      </c>
      <c r="I12" s="25" t="s">
        <v>49</v>
      </c>
      <c r="J12" s="14" t="s">
        <v>49</v>
      </c>
      <c r="K12" s="11" t="s">
        <v>49</v>
      </c>
      <c r="L12" s="114"/>
    </row>
    <row r="13" spans="2:16" x14ac:dyDescent="0.25">
      <c r="B13" s="3" t="s">
        <v>62</v>
      </c>
      <c r="C13" s="2" t="s">
        <v>101</v>
      </c>
      <c r="D13" s="2">
        <v>1</v>
      </c>
      <c r="E13" s="2"/>
      <c r="F13" s="14"/>
      <c r="G13" s="14"/>
      <c r="H13" s="14"/>
      <c r="I13" s="14"/>
      <c r="J13" s="14" t="s">
        <v>49</v>
      </c>
      <c r="K13" s="11"/>
      <c r="L13" s="25" t="s">
        <v>102</v>
      </c>
    </row>
    <row r="14" spans="2:16" x14ac:dyDescent="0.25">
      <c r="B14" s="37" t="s">
        <v>64</v>
      </c>
      <c r="C14" s="24" t="s">
        <v>65</v>
      </c>
      <c r="D14" s="23" t="s">
        <v>104</v>
      </c>
      <c r="E14" s="23" t="s">
        <v>66</v>
      </c>
      <c r="F14" s="24" t="s">
        <v>49</v>
      </c>
      <c r="G14" s="24" t="s">
        <v>49</v>
      </c>
      <c r="H14" s="24" t="s">
        <v>49</v>
      </c>
      <c r="I14" s="24" t="s">
        <v>49</v>
      </c>
      <c r="J14" s="24" t="s">
        <v>49</v>
      </c>
      <c r="K14" s="32" t="s">
        <v>49</v>
      </c>
      <c r="L14" s="8" t="s">
        <v>105</v>
      </c>
      <c r="O14">
        <f>15/20</f>
        <v>0.75</v>
      </c>
      <c r="P14" t="s">
        <v>112</v>
      </c>
    </row>
    <row r="15" spans="2:16" x14ac:dyDescent="0.25">
      <c r="B15" s="38" t="s">
        <v>67</v>
      </c>
      <c r="C15" s="21" t="s">
        <v>68</v>
      </c>
      <c r="D15" s="20" t="s">
        <v>106</v>
      </c>
      <c r="E15" s="20" t="s">
        <v>66</v>
      </c>
      <c r="F15" s="21"/>
      <c r="G15" s="21"/>
      <c r="H15" s="21"/>
      <c r="I15" s="21" t="s">
        <v>49</v>
      </c>
      <c r="J15" s="21"/>
      <c r="K15" s="39"/>
      <c r="L15" s="8">
        <v>46</v>
      </c>
      <c r="O15">
        <f>30/20</f>
        <v>1.5</v>
      </c>
      <c r="P15" t="s">
        <v>112</v>
      </c>
    </row>
    <row r="16" spans="2:16" x14ac:dyDescent="0.25">
      <c r="B16" s="3" t="s">
        <v>69</v>
      </c>
      <c r="C16" s="2" t="s">
        <v>70</v>
      </c>
      <c r="D16" s="2" t="s">
        <v>107</v>
      </c>
      <c r="E16" s="2" t="s">
        <v>71</v>
      </c>
      <c r="F16" s="14" t="s">
        <v>72</v>
      </c>
      <c r="G16" s="14" t="s">
        <v>72</v>
      </c>
      <c r="H16" s="14" t="s">
        <v>49</v>
      </c>
      <c r="I16" s="14" t="s">
        <v>49</v>
      </c>
      <c r="J16" s="14" t="s">
        <v>49</v>
      </c>
      <c r="K16" s="4" t="s">
        <v>49</v>
      </c>
      <c r="L16" s="8" t="s">
        <v>108</v>
      </c>
    </row>
    <row r="17" spans="2:16" x14ac:dyDescent="0.25">
      <c r="B17" s="37" t="s">
        <v>73</v>
      </c>
      <c r="C17" s="24" t="s">
        <v>74</v>
      </c>
      <c r="D17" s="40">
        <v>50</v>
      </c>
      <c r="E17" s="40" t="s">
        <v>66</v>
      </c>
      <c r="F17" s="24"/>
      <c r="G17" s="24"/>
      <c r="H17" s="24" t="s">
        <v>49</v>
      </c>
      <c r="I17" s="24" t="s">
        <v>49</v>
      </c>
      <c r="J17" s="24" t="s">
        <v>49</v>
      </c>
      <c r="K17" s="32" t="s">
        <v>49</v>
      </c>
      <c r="L17" s="8" t="s">
        <v>105</v>
      </c>
      <c r="O17">
        <f>50/20</f>
        <v>2.5</v>
      </c>
      <c r="P17" t="s">
        <v>112</v>
      </c>
    </row>
    <row r="18" spans="2:16" ht="16.5" thickBot="1" x14ac:dyDescent="0.3">
      <c r="B18" s="42" t="s">
        <v>75</v>
      </c>
      <c r="C18" s="45">
        <v>5000072</v>
      </c>
      <c r="D18" s="41" t="s">
        <v>109</v>
      </c>
      <c r="E18" s="41" t="s">
        <v>66</v>
      </c>
      <c r="F18" s="43"/>
      <c r="G18" s="43"/>
      <c r="H18" s="43"/>
      <c r="I18" s="43" t="s">
        <v>49</v>
      </c>
      <c r="J18" s="43"/>
      <c r="K18" s="44"/>
      <c r="L18" s="8" t="s">
        <v>110</v>
      </c>
      <c r="O18">
        <f>22/20</f>
        <v>1.1000000000000001</v>
      </c>
      <c r="P18" t="s">
        <v>112</v>
      </c>
    </row>
    <row r="19" spans="2:16" x14ac:dyDescent="0.25">
      <c r="C19" s="1"/>
      <c r="D19" s="1"/>
      <c r="E19" s="1"/>
      <c r="F19" s="1"/>
      <c r="G19" s="1"/>
      <c r="H19" s="1"/>
      <c r="I19" s="1"/>
      <c r="J19" s="1"/>
      <c r="K19" s="1"/>
    </row>
    <row r="20" spans="2:16" x14ac:dyDescent="0.25">
      <c r="D20" s="232" t="s">
        <v>76</v>
      </c>
      <c r="E20" s="232"/>
    </row>
    <row r="21" spans="2:16" ht="15.75" customHeight="1" x14ac:dyDescent="0.25">
      <c r="B21" s="36" t="s">
        <v>77</v>
      </c>
      <c r="C21" s="1"/>
      <c r="D21" s="21" t="s">
        <v>79</v>
      </c>
      <c r="E21" s="21" t="s">
        <v>78</v>
      </c>
      <c r="F21" s="105"/>
    </row>
    <row r="22" spans="2:16" ht="15.75" customHeight="1" x14ac:dyDescent="0.25">
      <c r="B22" s="36" t="s">
        <v>80</v>
      </c>
      <c r="C22" s="1"/>
      <c r="D22" s="24" t="s">
        <v>74</v>
      </c>
    </row>
    <row r="23" spans="2:16" ht="15.75" customHeight="1" x14ac:dyDescent="0.25">
      <c r="B23" s="36" t="s">
        <v>82</v>
      </c>
      <c r="C23" s="1"/>
      <c r="D23" s="24" t="s">
        <v>74</v>
      </c>
    </row>
    <row r="24" spans="2:16" ht="15.75" customHeight="1" x14ac:dyDescent="0.25">
      <c r="B24" s="36" t="s">
        <v>83</v>
      </c>
      <c r="C24" s="1"/>
      <c r="D24" s="45">
        <v>5000072</v>
      </c>
    </row>
    <row r="25" spans="2:16" x14ac:dyDescent="0.25">
      <c r="B25" s="36" t="s">
        <v>84</v>
      </c>
      <c r="C25" s="1"/>
      <c r="D25" s="46" t="s">
        <v>85</v>
      </c>
    </row>
  </sheetData>
  <mergeCells count="8">
    <mergeCell ref="B2:K2"/>
    <mergeCell ref="D20:E20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5"/>
  <sheetViews>
    <sheetView workbookViewId="0">
      <selection activeCell="F30" sqref="F30"/>
    </sheetView>
  </sheetViews>
  <sheetFormatPr defaultColWidth="11" defaultRowHeight="15.75" x14ac:dyDescent="0.25"/>
  <cols>
    <col min="2" max="2" width="36.375" customWidth="1"/>
    <col min="3" max="3" width="10.875" bestFit="1" customWidth="1"/>
    <col min="6" max="6" width="6.375" customWidth="1"/>
    <col min="7" max="7" width="6.625" customWidth="1"/>
    <col min="8" max="8" width="7.125" customWidth="1"/>
    <col min="9" max="9" width="7.25" customWidth="1"/>
    <col min="10" max="10" width="6.875" customWidth="1"/>
    <col min="11" max="11" width="6.5" customWidth="1"/>
    <col min="12" max="12" width="12.375" customWidth="1"/>
  </cols>
  <sheetData>
    <row r="1" spans="2:12" ht="16.5" thickBot="1" x14ac:dyDescent="0.3"/>
    <row r="2" spans="2:12" ht="32.25" thickBot="1" x14ac:dyDescent="0.55000000000000004">
      <c r="B2" s="211" t="s">
        <v>113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thickBot="1" x14ac:dyDescent="0.3">
      <c r="B3" s="216" t="s">
        <v>41</v>
      </c>
      <c r="C3" s="218" t="s">
        <v>42</v>
      </c>
      <c r="D3" s="220" t="s">
        <v>43</v>
      </c>
      <c r="E3" s="222" t="s">
        <v>44</v>
      </c>
      <c r="F3" s="225"/>
      <c r="G3" s="225"/>
      <c r="H3" s="225"/>
      <c r="I3" s="225"/>
      <c r="J3" s="226"/>
      <c r="K3" s="227"/>
      <c r="L3" s="214" t="s">
        <v>114</v>
      </c>
    </row>
    <row r="4" spans="2:12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3000</v>
      </c>
      <c r="K4" s="9">
        <v>5000</v>
      </c>
      <c r="L4" s="215"/>
    </row>
    <row r="5" spans="2:12" x14ac:dyDescent="0.25">
      <c r="B5" s="79" t="s">
        <v>47</v>
      </c>
      <c r="C5" s="80" t="s">
        <v>87</v>
      </c>
      <c r="D5" s="80">
        <v>1</v>
      </c>
      <c r="E5" s="80"/>
      <c r="F5" s="78" t="s">
        <v>49</v>
      </c>
      <c r="G5" s="78" t="s">
        <v>49</v>
      </c>
      <c r="H5" s="78" t="s">
        <v>49</v>
      </c>
      <c r="I5" s="78" t="s">
        <v>49</v>
      </c>
      <c r="J5" s="83" t="s">
        <v>49</v>
      </c>
      <c r="K5" s="7" t="s">
        <v>49</v>
      </c>
    </row>
    <row r="6" spans="2:12" x14ac:dyDescent="0.25">
      <c r="B6" s="81" t="s">
        <v>50</v>
      </c>
      <c r="C6" s="82" t="s">
        <v>115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14" t="s">
        <v>49</v>
      </c>
      <c r="K6" s="4" t="s">
        <v>49</v>
      </c>
    </row>
    <row r="7" spans="2:12" x14ac:dyDescent="0.25">
      <c r="B7" s="81" t="s">
        <v>90</v>
      </c>
      <c r="C7" s="82" t="s">
        <v>116</v>
      </c>
      <c r="D7" s="82">
        <v>1</v>
      </c>
      <c r="E7" s="82"/>
      <c r="F7" s="25" t="s">
        <v>49</v>
      </c>
      <c r="G7" s="25" t="s">
        <v>49</v>
      </c>
      <c r="H7" s="25" t="s">
        <v>49</v>
      </c>
      <c r="I7" s="25" t="s">
        <v>49</v>
      </c>
      <c r="J7" s="14" t="s">
        <v>49</v>
      </c>
      <c r="K7" s="4" t="s">
        <v>49</v>
      </c>
      <c r="L7" s="107" t="s">
        <v>117</v>
      </c>
    </row>
    <row r="8" spans="2:12" x14ac:dyDescent="0.25">
      <c r="B8" s="81" t="s">
        <v>52</v>
      </c>
      <c r="C8" s="82" t="s">
        <v>93</v>
      </c>
      <c r="D8" s="82">
        <v>1</v>
      </c>
      <c r="E8" s="82"/>
      <c r="F8" s="25"/>
      <c r="G8" s="25" t="s">
        <v>49</v>
      </c>
      <c r="H8" s="25" t="s">
        <v>49</v>
      </c>
      <c r="I8" s="25" t="s">
        <v>49</v>
      </c>
      <c r="J8" s="14" t="s">
        <v>49</v>
      </c>
      <c r="K8" s="4" t="s">
        <v>49</v>
      </c>
    </row>
    <row r="9" spans="2:12" x14ac:dyDescent="0.25">
      <c r="B9" s="81" t="s">
        <v>54</v>
      </c>
      <c r="C9" s="82" t="s">
        <v>95</v>
      </c>
      <c r="D9" s="82">
        <v>1</v>
      </c>
      <c r="E9" s="82"/>
      <c r="F9" s="25"/>
      <c r="G9" s="25"/>
      <c r="H9" s="25" t="s">
        <v>49</v>
      </c>
      <c r="I9" s="25" t="s">
        <v>49</v>
      </c>
      <c r="J9" s="14" t="s">
        <v>49</v>
      </c>
      <c r="K9" s="4" t="s">
        <v>49</v>
      </c>
    </row>
    <row r="10" spans="2:12" x14ac:dyDescent="0.25">
      <c r="B10" s="81" t="s">
        <v>56</v>
      </c>
      <c r="C10" s="82" t="s">
        <v>57</v>
      </c>
      <c r="D10" s="82">
        <v>1</v>
      </c>
      <c r="E10" s="82"/>
      <c r="F10" s="25"/>
      <c r="G10" s="25"/>
      <c r="H10" s="25" t="s">
        <v>49</v>
      </c>
      <c r="I10" s="25" t="s">
        <v>49</v>
      </c>
      <c r="J10" s="14" t="s">
        <v>49</v>
      </c>
      <c r="K10" s="4" t="s">
        <v>49</v>
      </c>
    </row>
    <row r="11" spans="2:12" x14ac:dyDescent="0.25">
      <c r="B11" s="81" t="s">
        <v>58</v>
      </c>
      <c r="C11" s="82" t="s">
        <v>59</v>
      </c>
      <c r="D11" s="82">
        <v>1</v>
      </c>
      <c r="E11" s="82"/>
      <c r="F11" s="25"/>
      <c r="G11" s="25" t="s">
        <v>49</v>
      </c>
      <c r="H11" s="25" t="s">
        <v>49</v>
      </c>
      <c r="I11" s="25" t="s">
        <v>49</v>
      </c>
      <c r="J11" s="14" t="s">
        <v>49</v>
      </c>
      <c r="K11" s="4" t="s">
        <v>49</v>
      </c>
    </row>
    <row r="12" spans="2:12" x14ac:dyDescent="0.25">
      <c r="B12" s="81" t="s">
        <v>60</v>
      </c>
      <c r="C12" s="82" t="s">
        <v>118</v>
      </c>
      <c r="D12" s="82">
        <v>1</v>
      </c>
      <c r="E12" s="82"/>
      <c r="F12" s="25"/>
      <c r="G12" s="25" t="s">
        <v>49</v>
      </c>
      <c r="H12" s="25" t="s">
        <v>49</v>
      </c>
      <c r="I12" s="25" t="s">
        <v>49</v>
      </c>
      <c r="J12" s="14" t="s">
        <v>49</v>
      </c>
      <c r="K12" s="4" t="s">
        <v>49</v>
      </c>
    </row>
    <row r="13" spans="2:12" x14ac:dyDescent="0.25">
      <c r="B13" s="81" t="s">
        <v>119</v>
      </c>
      <c r="C13" s="82" t="s">
        <v>120</v>
      </c>
      <c r="D13" s="82">
        <v>1</v>
      </c>
      <c r="E13" s="82"/>
      <c r="F13" s="25"/>
      <c r="G13" s="25"/>
      <c r="H13" s="25">
        <v>1500</v>
      </c>
      <c r="I13" s="25"/>
      <c r="J13" s="14" t="s">
        <v>49</v>
      </c>
      <c r="K13" s="4"/>
    </row>
    <row r="14" spans="2:12" x14ac:dyDescent="0.25">
      <c r="B14" s="3" t="s">
        <v>121</v>
      </c>
      <c r="C14" s="2" t="s">
        <v>101</v>
      </c>
      <c r="D14" s="2">
        <v>1</v>
      </c>
      <c r="E14" s="2"/>
      <c r="F14" s="14"/>
      <c r="G14" s="14"/>
      <c r="H14" s="14"/>
      <c r="I14" s="14"/>
      <c r="J14" s="14" t="s">
        <v>49</v>
      </c>
      <c r="K14" s="4"/>
      <c r="L14" s="2" t="s">
        <v>102</v>
      </c>
    </row>
    <row r="15" spans="2:12" x14ac:dyDescent="0.25">
      <c r="B15" s="37" t="s">
        <v>64</v>
      </c>
      <c r="C15" s="24" t="s">
        <v>65</v>
      </c>
      <c r="D15" s="23" t="s">
        <v>104</v>
      </c>
      <c r="E15" s="23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24" t="s">
        <v>49</v>
      </c>
      <c r="K15" s="32" t="s">
        <v>49</v>
      </c>
      <c r="L15" s="8" t="s">
        <v>105</v>
      </c>
    </row>
    <row r="16" spans="2:12" x14ac:dyDescent="0.25">
      <c r="B16" s="38" t="s">
        <v>67</v>
      </c>
      <c r="C16" s="21" t="s">
        <v>68</v>
      </c>
      <c r="D16" s="20" t="s">
        <v>106</v>
      </c>
      <c r="E16" s="20" t="s">
        <v>66</v>
      </c>
      <c r="F16" s="21"/>
      <c r="G16" s="21"/>
      <c r="H16" s="21"/>
      <c r="I16" s="21" t="s">
        <v>49</v>
      </c>
      <c r="J16" s="21"/>
      <c r="K16" s="39"/>
      <c r="L16" s="8">
        <v>46</v>
      </c>
    </row>
    <row r="17" spans="2:12" x14ac:dyDescent="0.25">
      <c r="B17" s="37" t="s">
        <v>73</v>
      </c>
      <c r="C17" s="24" t="s">
        <v>74</v>
      </c>
      <c r="D17" s="40" t="s">
        <v>122</v>
      </c>
      <c r="E17" s="40" t="s">
        <v>66</v>
      </c>
      <c r="F17" s="24"/>
      <c r="G17" s="24"/>
      <c r="H17" s="24" t="s">
        <v>49</v>
      </c>
      <c r="I17" s="24" t="s">
        <v>49</v>
      </c>
      <c r="J17" s="24" t="s">
        <v>49</v>
      </c>
      <c r="K17" s="32" t="s">
        <v>49</v>
      </c>
      <c r="L17" s="8" t="s">
        <v>105</v>
      </c>
    </row>
    <row r="18" spans="2:12" ht="16.5" thickBot="1" x14ac:dyDescent="0.3">
      <c r="B18" s="42" t="s">
        <v>75</v>
      </c>
      <c r="C18" s="45">
        <v>5000072</v>
      </c>
      <c r="D18" s="41" t="s">
        <v>109</v>
      </c>
      <c r="E18" s="41" t="s">
        <v>66</v>
      </c>
      <c r="F18" s="43"/>
      <c r="G18" s="43"/>
      <c r="H18" s="43"/>
      <c r="I18" s="43" t="s">
        <v>49</v>
      </c>
      <c r="J18" s="43"/>
      <c r="K18" s="44"/>
      <c r="L18" s="8" t="s">
        <v>110</v>
      </c>
    </row>
    <row r="19" spans="2:12" x14ac:dyDescent="0.25">
      <c r="B19" s="3" t="s">
        <v>69</v>
      </c>
      <c r="C19" s="2" t="s">
        <v>70</v>
      </c>
      <c r="D19" s="2" t="s">
        <v>107</v>
      </c>
      <c r="E19" s="2" t="s">
        <v>71</v>
      </c>
      <c r="F19" s="14" t="s">
        <v>72</v>
      </c>
      <c r="G19" s="14" t="s">
        <v>72</v>
      </c>
      <c r="H19" s="14" t="s">
        <v>49</v>
      </c>
      <c r="I19" s="14" t="s">
        <v>49</v>
      </c>
      <c r="J19" s="14" t="s">
        <v>49</v>
      </c>
      <c r="K19" s="4" t="s">
        <v>49</v>
      </c>
      <c r="L19" s="8" t="s">
        <v>108</v>
      </c>
    </row>
    <row r="20" spans="2:12" x14ac:dyDescent="0.25">
      <c r="E20" t="s">
        <v>76</v>
      </c>
    </row>
    <row r="21" spans="2:12" x14ac:dyDescent="0.25">
      <c r="B21" s="36" t="s">
        <v>77</v>
      </c>
      <c r="C21" s="1"/>
      <c r="D21" s="21" t="s">
        <v>79</v>
      </c>
      <c r="E21" s="21" t="s">
        <v>78</v>
      </c>
      <c r="F21" s="105"/>
    </row>
    <row r="22" spans="2:12" x14ac:dyDescent="0.25">
      <c r="B22" s="36" t="s">
        <v>80</v>
      </c>
      <c r="C22" s="1"/>
      <c r="D22" s="24" t="s">
        <v>74</v>
      </c>
    </row>
    <row r="23" spans="2:12" x14ac:dyDescent="0.25">
      <c r="B23" s="36" t="s">
        <v>82</v>
      </c>
      <c r="C23" s="1"/>
      <c r="D23" s="24" t="s">
        <v>74</v>
      </c>
    </row>
    <row r="24" spans="2:12" x14ac:dyDescent="0.25">
      <c r="B24" s="36" t="s">
        <v>83</v>
      </c>
      <c r="C24" s="1"/>
      <c r="D24" s="45">
        <v>5000072</v>
      </c>
    </row>
    <row r="25" spans="2:12" x14ac:dyDescent="0.25">
      <c r="B25" s="36" t="s">
        <v>84</v>
      </c>
      <c r="C25" s="1"/>
      <c r="D25" s="46" t="s">
        <v>85</v>
      </c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4"/>
  <sheetViews>
    <sheetView topLeftCell="A4" workbookViewId="0">
      <selection activeCell="C13" sqref="C13"/>
    </sheetView>
  </sheetViews>
  <sheetFormatPr defaultColWidth="10.875" defaultRowHeight="15.75" x14ac:dyDescent="0.25"/>
  <cols>
    <col min="2" max="2" width="30.375" bestFit="1" customWidth="1"/>
    <col min="3" max="3" width="10.625" style="1" bestFit="1" customWidth="1"/>
    <col min="4" max="4" width="12.875" style="1" customWidth="1"/>
    <col min="5" max="5" width="13.875" style="1" bestFit="1" customWidth="1"/>
    <col min="6" max="7" width="5.125" style="1" customWidth="1"/>
    <col min="8" max="8" width="5.125" style="1" bestFit="1" customWidth="1"/>
    <col min="9" max="9" width="6.125" style="1" bestFit="1" customWidth="1"/>
    <col min="10" max="10" width="5.125" style="1" customWidth="1"/>
  </cols>
  <sheetData>
    <row r="1" spans="2:11" ht="16.5" thickBot="1" x14ac:dyDescent="0.3"/>
    <row r="2" spans="2:11" ht="32.25" thickBot="1" x14ac:dyDescent="0.55000000000000004">
      <c r="B2" s="211" t="s">
        <v>123</v>
      </c>
      <c r="C2" s="212"/>
      <c r="D2" s="212"/>
      <c r="E2" s="212"/>
      <c r="F2" s="212"/>
      <c r="G2" s="212"/>
      <c r="H2" s="212"/>
      <c r="I2" s="212"/>
      <c r="J2" s="213"/>
    </row>
    <row r="3" spans="2:11" x14ac:dyDescent="0.25">
      <c r="B3" s="234" t="s">
        <v>41</v>
      </c>
      <c r="C3" s="234" t="s">
        <v>42</v>
      </c>
      <c r="D3" s="236" t="s">
        <v>43</v>
      </c>
      <c r="E3" s="236" t="s">
        <v>44</v>
      </c>
      <c r="F3" s="234"/>
      <c r="G3" s="234"/>
      <c r="H3" s="234"/>
      <c r="I3" s="234"/>
      <c r="J3" s="234"/>
    </row>
    <row r="4" spans="2:11" x14ac:dyDescent="0.25">
      <c r="B4" s="235"/>
      <c r="C4" s="235"/>
      <c r="D4" s="237"/>
      <c r="E4" s="237"/>
      <c r="F4" s="14">
        <v>250</v>
      </c>
      <c r="G4" s="14">
        <v>500</v>
      </c>
      <c r="H4" s="14">
        <v>1000</v>
      </c>
      <c r="I4" s="14">
        <v>2000</v>
      </c>
      <c r="J4" s="14">
        <v>5000</v>
      </c>
    </row>
    <row r="5" spans="2:11" x14ac:dyDescent="0.25">
      <c r="B5" s="92" t="s">
        <v>47</v>
      </c>
      <c r="C5" s="82" t="s">
        <v>124</v>
      </c>
      <c r="D5" s="82">
        <v>1</v>
      </c>
      <c r="E5" s="82"/>
      <c r="F5" s="25" t="s">
        <v>49</v>
      </c>
      <c r="G5" s="25" t="s">
        <v>49</v>
      </c>
      <c r="H5" s="25" t="s">
        <v>49</v>
      </c>
      <c r="I5" s="25" t="s">
        <v>49</v>
      </c>
      <c r="J5" s="25" t="s">
        <v>49</v>
      </c>
    </row>
    <row r="6" spans="2:11" x14ac:dyDescent="0.25">
      <c r="B6" s="92" t="s">
        <v>90</v>
      </c>
      <c r="C6" s="82" t="s">
        <v>125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25" t="s">
        <v>49</v>
      </c>
    </row>
    <row r="7" spans="2:11" x14ac:dyDescent="0.25">
      <c r="B7" s="92" t="s">
        <v>52</v>
      </c>
      <c r="C7" s="82" t="s">
        <v>126</v>
      </c>
      <c r="D7" s="82">
        <v>1</v>
      </c>
      <c r="E7" s="82"/>
      <c r="F7" s="25"/>
      <c r="G7" s="25" t="s">
        <v>49</v>
      </c>
      <c r="H7" s="25" t="s">
        <v>49</v>
      </c>
      <c r="I7" s="25" t="s">
        <v>49</v>
      </c>
      <c r="J7" s="25" t="s">
        <v>49</v>
      </c>
    </row>
    <row r="8" spans="2:11" x14ac:dyDescent="0.25">
      <c r="B8" s="92" t="s">
        <v>54</v>
      </c>
      <c r="C8" s="82" t="s">
        <v>127</v>
      </c>
      <c r="D8" s="82">
        <v>1</v>
      </c>
      <c r="E8" s="82"/>
      <c r="F8" s="25"/>
      <c r="G8" s="25"/>
      <c r="H8" s="25" t="s">
        <v>49</v>
      </c>
      <c r="I8" s="25" t="s">
        <v>49</v>
      </c>
      <c r="J8" s="25" t="s">
        <v>49</v>
      </c>
    </row>
    <row r="9" spans="2:11" x14ac:dyDescent="0.25">
      <c r="B9" s="92" t="s">
        <v>128</v>
      </c>
      <c r="C9" s="82" t="s">
        <v>129</v>
      </c>
      <c r="D9" s="82">
        <v>1</v>
      </c>
      <c r="E9" s="82"/>
      <c r="F9" s="25"/>
      <c r="G9" s="25"/>
      <c r="H9" s="25" t="s">
        <v>49</v>
      </c>
      <c r="I9" s="25" t="s">
        <v>49</v>
      </c>
      <c r="J9" s="25" t="s">
        <v>49</v>
      </c>
    </row>
    <row r="10" spans="2:11" x14ac:dyDescent="0.25">
      <c r="B10" s="114" t="s">
        <v>130</v>
      </c>
      <c r="C10" s="2" t="s">
        <v>131</v>
      </c>
      <c r="D10" s="2">
        <v>1</v>
      </c>
      <c r="E10" s="2"/>
      <c r="F10" s="14"/>
      <c r="G10" s="14"/>
      <c r="H10" s="14"/>
      <c r="I10" s="14"/>
      <c r="J10" s="14" t="s">
        <v>49</v>
      </c>
    </row>
    <row r="11" spans="2:11" x14ac:dyDescent="0.25">
      <c r="B11" s="114" t="s">
        <v>62</v>
      </c>
      <c r="C11" s="2" t="s">
        <v>132</v>
      </c>
      <c r="D11" s="2">
        <v>1</v>
      </c>
      <c r="E11" s="2"/>
      <c r="F11" s="14"/>
      <c r="G11" s="14"/>
      <c r="H11" s="14"/>
      <c r="I11" s="120"/>
      <c r="J11" s="14" t="s">
        <v>49</v>
      </c>
    </row>
    <row r="12" spans="2:11" x14ac:dyDescent="0.25">
      <c r="B12" s="93" t="s">
        <v>67</v>
      </c>
      <c r="C12" s="21" t="s">
        <v>68</v>
      </c>
      <c r="D12" s="20" t="s">
        <v>133</v>
      </c>
      <c r="E12" s="20" t="s">
        <v>66</v>
      </c>
      <c r="F12" s="21"/>
      <c r="G12" s="21"/>
      <c r="H12" s="21"/>
      <c r="I12" s="21" t="s">
        <v>49</v>
      </c>
      <c r="J12" s="21"/>
      <c r="K12" s="8">
        <v>46</v>
      </c>
    </row>
    <row r="13" spans="2:11" x14ac:dyDescent="0.25">
      <c r="B13" s="94" t="s">
        <v>64</v>
      </c>
      <c r="C13" s="24" t="s">
        <v>65</v>
      </c>
      <c r="D13" s="23" t="s">
        <v>134</v>
      </c>
      <c r="E13" s="23" t="s">
        <v>66</v>
      </c>
      <c r="F13" s="24" t="s">
        <v>49</v>
      </c>
      <c r="G13" s="24" t="s">
        <v>49</v>
      </c>
      <c r="H13" s="24" t="s">
        <v>49</v>
      </c>
      <c r="I13" s="24" t="s">
        <v>49</v>
      </c>
      <c r="J13" s="24" t="s">
        <v>49</v>
      </c>
      <c r="K13" s="8" t="s">
        <v>135</v>
      </c>
    </row>
    <row r="14" spans="2:11" x14ac:dyDescent="0.25">
      <c r="B14" s="50" t="s">
        <v>84</v>
      </c>
      <c r="C14" s="46" t="s">
        <v>85</v>
      </c>
      <c r="D14" s="46">
        <v>1</v>
      </c>
      <c r="E14" s="46" t="s">
        <v>71</v>
      </c>
      <c r="F14" s="51" t="s">
        <v>49</v>
      </c>
      <c r="G14" s="51" t="s">
        <v>49</v>
      </c>
      <c r="H14" s="51" t="s">
        <v>49</v>
      </c>
      <c r="I14" s="51" t="s">
        <v>49</v>
      </c>
      <c r="J14" s="52" t="s">
        <v>49</v>
      </c>
      <c r="K14" s="8"/>
    </row>
    <row r="15" spans="2:11" x14ac:dyDescent="0.25">
      <c r="B15" s="3" t="s">
        <v>69</v>
      </c>
      <c r="C15" s="2" t="s">
        <v>70</v>
      </c>
      <c r="D15" s="2">
        <v>1</v>
      </c>
      <c r="E15" s="2" t="s">
        <v>71</v>
      </c>
      <c r="F15" s="14" t="s">
        <v>49</v>
      </c>
      <c r="G15" s="14" t="s">
        <v>49</v>
      </c>
      <c r="H15" s="14" t="s">
        <v>49</v>
      </c>
      <c r="I15" s="14" t="s">
        <v>49</v>
      </c>
      <c r="J15" s="4" t="s">
        <v>49</v>
      </c>
      <c r="K15" s="8" t="s">
        <v>108</v>
      </c>
    </row>
    <row r="16" spans="2:11" ht="16.5" thickBot="1" x14ac:dyDescent="0.3">
      <c r="B16" s="42" t="s">
        <v>75</v>
      </c>
      <c r="C16" s="45">
        <v>5000072</v>
      </c>
      <c r="D16" s="41" t="s">
        <v>136</v>
      </c>
      <c r="E16" s="41" t="s">
        <v>66</v>
      </c>
      <c r="F16" s="43"/>
      <c r="G16" s="43"/>
      <c r="H16" s="43"/>
      <c r="I16" s="43" t="s">
        <v>49</v>
      </c>
      <c r="J16" s="44"/>
      <c r="K16" s="8" t="s">
        <v>110</v>
      </c>
    </row>
    <row r="17" spans="2:12" x14ac:dyDescent="0.25">
      <c r="K17" s="8"/>
    </row>
    <row r="18" spans="2:12" x14ac:dyDescent="0.25">
      <c r="C18"/>
      <c r="D18" t="s">
        <v>76</v>
      </c>
      <c r="E18"/>
      <c r="F18"/>
      <c r="G18"/>
      <c r="H18"/>
      <c r="I18"/>
      <c r="J18"/>
    </row>
    <row r="19" spans="2:12" x14ac:dyDescent="0.25">
      <c r="B19" s="36" t="s">
        <v>77</v>
      </c>
      <c r="C19" s="21" t="s">
        <v>79</v>
      </c>
      <c r="D19" s="21" t="s">
        <v>78</v>
      </c>
      <c r="E19"/>
      <c r="F19" s="121"/>
      <c r="G19" s="105"/>
      <c r="H19" s="21" t="s">
        <v>68</v>
      </c>
      <c r="I19" s="105"/>
      <c r="J19" s="105"/>
      <c r="K19" s="105"/>
      <c r="L19" s="105"/>
    </row>
    <row r="20" spans="2:12" x14ac:dyDescent="0.25">
      <c r="B20" s="36" t="s">
        <v>80</v>
      </c>
      <c r="C20" s="24" t="s">
        <v>74</v>
      </c>
      <c r="D20"/>
      <c r="E20"/>
      <c r="F20"/>
      <c r="G20"/>
      <c r="H20" s="24" t="s">
        <v>81</v>
      </c>
      <c r="I20"/>
      <c r="J20"/>
    </row>
    <row r="21" spans="2:12" ht="15.75" customHeight="1" x14ac:dyDescent="0.25">
      <c r="B21" s="36" t="s">
        <v>83</v>
      </c>
      <c r="C21" s="45">
        <v>5000072</v>
      </c>
      <c r="D21"/>
      <c r="E21"/>
      <c r="F21"/>
      <c r="G21"/>
      <c r="I21"/>
      <c r="J21"/>
    </row>
    <row r="22" spans="2:12" x14ac:dyDescent="0.25">
      <c r="B22" s="36" t="s">
        <v>137</v>
      </c>
      <c r="C22" s="46" t="s">
        <v>85</v>
      </c>
      <c r="D22"/>
      <c r="E22"/>
      <c r="F22"/>
      <c r="G22"/>
      <c r="H22"/>
      <c r="I22"/>
      <c r="J22"/>
    </row>
    <row r="23" spans="2:12" x14ac:dyDescent="0.25">
      <c r="C23"/>
      <c r="D23"/>
      <c r="E23"/>
      <c r="F23"/>
      <c r="G23"/>
      <c r="H23"/>
      <c r="I23"/>
      <c r="J23"/>
    </row>
    <row r="24" spans="2:12" x14ac:dyDescent="0.25">
      <c r="C24"/>
      <c r="D24"/>
      <c r="E24"/>
      <c r="F24"/>
      <c r="G24"/>
      <c r="H24"/>
      <c r="I24"/>
      <c r="J24"/>
    </row>
  </sheetData>
  <mergeCells count="6">
    <mergeCell ref="B2:J2"/>
    <mergeCell ref="B3:B4"/>
    <mergeCell ref="C3:C4"/>
    <mergeCell ref="D3:D4"/>
    <mergeCell ref="F3:J3"/>
    <mergeCell ref="E3:E4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3E8E-ED51-421B-B9AE-471D2D9E33F4}">
  <dimension ref="B1:O30"/>
  <sheetViews>
    <sheetView tabSelected="1" zoomScaleNormal="100" workbookViewId="0">
      <selection activeCell="F5" sqref="F5"/>
    </sheetView>
  </sheetViews>
  <sheetFormatPr defaultColWidth="10.875" defaultRowHeight="15.75" x14ac:dyDescent="0.25"/>
  <cols>
    <col min="2" max="2" width="40.75" customWidth="1"/>
    <col min="3" max="3" width="10.75" style="1" bestFit="1" customWidth="1"/>
    <col min="4" max="4" width="12.875" style="1" customWidth="1"/>
    <col min="5" max="5" width="20.125" style="1" customWidth="1"/>
    <col min="6" max="9" width="6.125" style="1" customWidth="1"/>
    <col min="10" max="10" width="6.125" style="1" bestFit="1" customWidth="1"/>
  </cols>
  <sheetData>
    <row r="1" spans="2:15" ht="16.5" thickBot="1" x14ac:dyDescent="0.3"/>
    <row r="2" spans="2:15" ht="32.25" thickBot="1" x14ac:dyDescent="0.55000000000000004">
      <c r="B2" s="211" t="s">
        <v>138</v>
      </c>
      <c r="C2" s="212"/>
      <c r="D2" s="212"/>
      <c r="E2" s="212"/>
      <c r="F2" s="212"/>
      <c r="G2" s="212"/>
      <c r="H2" s="212"/>
      <c r="I2" s="212"/>
      <c r="J2" s="213"/>
    </row>
    <row r="3" spans="2:15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5"/>
      <c r="K3" s="214" t="s">
        <v>114</v>
      </c>
    </row>
    <row r="4" spans="2:15" ht="29.45" customHeight="1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6000</v>
      </c>
      <c r="K4" s="215"/>
    </row>
    <row r="5" spans="2:15" x14ac:dyDescent="0.25">
      <c r="B5" s="79" t="s">
        <v>47</v>
      </c>
      <c r="C5" s="107" t="s">
        <v>87</v>
      </c>
      <c r="D5" s="80">
        <v>1</v>
      </c>
      <c r="E5" s="80"/>
      <c r="F5" s="78" t="s">
        <v>49</v>
      </c>
      <c r="G5" s="78" t="s">
        <v>49</v>
      </c>
      <c r="H5" s="78" t="s">
        <v>49</v>
      </c>
      <c r="I5" s="78" t="s">
        <v>49</v>
      </c>
      <c r="J5" s="78" t="s">
        <v>49</v>
      </c>
      <c r="K5" s="124" t="s">
        <v>140</v>
      </c>
      <c r="L5" s="118" t="s">
        <v>141</v>
      </c>
    </row>
    <row r="6" spans="2:15" x14ac:dyDescent="0.25">
      <c r="B6" s="81" t="s">
        <v>142</v>
      </c>
      <c r="C6" s="25" t="s">
        <v>143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25" t="s">
        <v>49</v>
      </c>
      <c r="K6" s="25" t="s">
        <v>144</v>
      </c>
      <c r="L6" s="95"/>
    </row>
    <row r="7" spans="2:15" x14ac:dyDescent="0.25">
      <c r="B7" s="81" t="s">
        <v>145</v>
      </c>
      <c r="C7" s="25" t="s">
        <v>146</v>
      </c>
      <c r="D7" s="82">
        <v>1</v>
      </c>
      <c r="E7" s="82"/>
      <c r="F7" s="25" t="s">
        <v>49</v>
      </c>
      <c r="G7" s="25" t="s">
        <v>49</v>
      </c>
      <c r="H7" s="25" t="s">
        <v>49</v>
      </c>
      <c r="I7" s="25" t="s">
        <v>49</v>
      </c>
      <c r="J7" s="25" t="s">
        <v>49</v>
      </c>
      <c r="K7" s="125"/>
      <c r="L7" s="95"/>
    </row>
    <row r="8" spans="2:15" x14ac:dyDescent="0.25">
      <c r="B8" s="81" t="s">
        <v>147</v>
      </c>
      <c r="C8" s="119" t="s">
        <v>91</v>
      </c>
      <c r="D8" s="82">
        <v>1</v>
      </c>
      <c r="E8" s="82"/>
      <c r="F8" s="25" t="s">
        <v>49</v>
      </c>
      <c r="G8" s="25" t="s">
        <v>49</v>
      </c>
      <c r="H8" s="25" t="s">
        <v>49</v>
      </c>
      <c r="I8" s="25" t="s">
        <v>49</v>
      </c>
      <c r="J8" s="25" t="s">
        <v>49</v>
      </c>
      <c r="K8" s="25" t="s">
        <v>92</v>
      </c>
      <c r="L8" s="95"/>
    </row>
    <row r="9" spans="2:15" x14ac:dyDescent="0.25">
      <c r="B9" s="81" t="s">
        <v>52</v>
      </c>
      <c r="C9" s="25" t="s">
        <v>148</v>
      </c>
      <c r="D9" s="82">
        <v>1</v>
      </c>
      <c r="E9" s="82"/>
      <c r="F9" s="25"/>
      <c r="G9" s="25" t="s">
        <v>49</v>
      </c>
      <c r="H9" s="25" t="s">
        <v>49</v>
      </c>
      <c r="I9" s="25" t="s">
        <v>49</v>
      </c>
      <c r="J9" s="25" t="s">
        <v>49</v>
      </c>
      <c r="K9" s="114"/>
    </row>
    <row r="10" spans="2:15" x14ac:dyDescent="0.25">
      <c r="B10" s="81" t="s">
        <v>54</v>
      </c>
      <c r="C10" s="25" t="s">
        <v>149</v>
      </c>
      <c r="D10" s="82">
        <v>1</v>
      </c>
      <c r="E10" s="82"/>
      <c r="F10" s="25"/>
      <c r="G10" s="25"/>
      <c r="H10" s="25" t="s">
        <v>49</v>
      </c>
      <c r="I10" s="25" t="s">
        <v>49</v>
      </c>
      <c r="J10" s="25" t="s">
        <v>49</v>
      </c>
      <c r="K10" s="114"/>
    </row>
    <row r="11" spans="2:15" x14ac:dyDescent="0.25">
      <c r="B11" s="81" t="s">
        <v>56</v>
      </c>
      <c r="C11" s="25" t="s">
        <v>150</v>
      </c>
      <c r="D11" s="82">
        <v>1</v>
      </c>
      <c r="E11" s="82"/>
      <c r="F11" s="25"/>
      <c r="G11" s="25"/>
      <c r="H11" s="25"/>
      <c r="I11" s="25" t="s">
        <v>49</v>
      </c>
      <c r="J11" s="25" t="s">
        <v>49</v>
      </c>
      <c r="K11" s="114"/>
    </row>
    <row r="12" spans="2:15" x14ac:dyDescent="0.25">
      <c r="B12" s="81" t="s">
        <v>128</v>
      </c>
      <c r="C12" s="25" t="s">
        <v>151</v>
      </c>
      <c r="D12" s="82">
        <v>1</v>
      </c>
      <c r="E12" s="82"/>
      <c r="F12" s="25"/>
      <c r="G12" s="25"/>
      <c r="H12" s="25" t="s">
        <v>49</v>
      </c>
      <c r="I12" s="25" t="s">
        <v>49</v>
      </c>
      <c r="J12" s="25" t="s">
        <v>49</v>
      </c>
      <c r="K12" s="114"/>
    </row>
    <row r="13" spans="2:15" x14ac:dyDescent="0.25">
      <c r="B13" s="3" t="s">
        <v>152</v>
      </c>
      <c r="C13" s="14" t="s">
        <v>153</v>
      </c>
      <c r="D13" s="2">
        <v>1</v>
      </c>
      <c r="E13" s="2"/>
      <c r="F13" s="14"/>
      <c r="G13" s="14"/>
      <c r="H13" s="14"/>
      <c r="I13" s="14"/>
      <c r="J13" s="14" t="s">
        <v>49</v>
      </c>
      <c r="K13" s="114"/>
    </row>
    <row r="14" spans="2:15" x14ac:dyDescent="0.25">
      <c r="B14" s="38" t="s">
        <v>67</v>
      </c>
      <c r="C14" s="21" t="s">
        <v>68</v>
      </c>
      <c r="D14" s="20" t="s">
        <v>154</v>
      </c>
      <c r="E14" s="20" t="s">
        <v>66</v>
      </c>
      <c r="F14" s="21"/>
      <c r="G14" s="21"/>
      <c r="H14" s="21"/>
      <c r="I14" s="21" t="s">
        <v>49</v>
      </c>
      <c r="J14" s="21" t="s">
        <v>49</v>
      </c>
      <c r="K14" s="8">
        <v>46</v>
      </c>
      <c r="N14">
        <f>60/20</f>
        <v>3</v>
      </c>
      <c r="O14" t="s">
        <v>112</v>
      </c>
    </row>
    <row r="15" spans="2:15" x14ac:dyDescent="0.25">
      <c r="B15" s="37" t="s">
        <v>64</v>
      </c>
      <c r="C15" s="24" t="s">
        <v>65</v>
      </c>
      <c r="D15" s="23" t="s">
        <v>155</v>
      </c>
      <c r="E15" s="23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24" t="s">
        <v>49</v>
      </c>
      <c r="K15" s="8" t="s">
        <v>135</v>
      </c>
      <c r="N15">
        <f>15/20</f>
        <v>0.75</v>
      </c>
    </row>
    <row r="16" spans="2:15" x14ac:dyDescent="0.25">
      <c r="B16" s="48" t="s">
        <v>156</v>
      </c>
      <c r="C16" s="28" t="s">
        <v>157</v>
      </c>
      <c r="D16" s="22" t="s">
        <v>158</v>
      </c>
      <c r="E16" s="22" t="s">
        <v>66</v>
      </c>
      <c r="F16" s="28"/>
      <c r="G16" s="31" t="s">
        <v>49</v>
      </c>
      <c r="H16" s="28" t="s">
        <v>49</v>
      </c>
      <c r="I16" s="28" t="s">
        <v>49</v>
      </c>
      <c r="J16" s="28" t="s">
        <v>49</v>
      </c>
      <c r="K16" s="8" t="s">
        <v>159</v>
      </c>
      <c r="N16">
        <f>22/20</f>
        <v>1.1000000000000001</v>
      </c>
    </row>
    <row r="17" spans="2:14" x14ac:dyDescent="0.25">
      <c r="B17" s="53" t="s">
        <v>160</v>
      </c>
      <c r="C17" s="74" t="s">
        <v>161</v>
      </c>
      <c r="D17" s="73" t="s">
        <v>162</v>
      </c>
      <c r="E17" s="73" t="s">
        <v>163</v>
      </c>
      <c r="F17" s="45"/>
      <c r="G17" s="45"/>
      <c r="H17" s="45"/>
      <c r="I17" s="45" t="s">
        <v>49</v>
      </c>
      <c r="J17" s="45" t="s">
        <v>49</v>
      </c>
      <c r="K17" s="8" t="s">
        <v>164</v>
      </c>
      <c r="N17">
        <f>1.3/1</f>
        <v>1.3</v>
      </c>
    </row>
    <row r="18" spans="2:14" x14ac:dyDescent="0.25">
      <c r="B18" s="53" t="s">
        <v>165</v>
      </c>
      <c r="C18" s="74" t="s">
        <v>166</v>
      </c>
      <c r="D18" s="73" t="s">
        <v>167</v>
      </c>
      <c r="E18" s="73" t="s">
        <v>163</v>
      </c>
      <c r="F18" s="45"/>
      <c r="G18" s="45"/>
      <c r="H18" s="45"/>
      <c r="I18" s="45" t="s">
        <v>49</v>
      </c>
      <c r="J18" s="45" t="s">
        <v>49</v>
      </c>
      <c r="K18" s="8" t="s">
        <v>168</v>
      </c>
      <c r="N18">
        <v>3.5</v>
      </c>
    </row>
    <row r="19" spans="2:14" ht="16.5" thickBot="1" x14ac:dyDescent="0.3">
      <c r="B19" s="42" t="s">
        <v>75</v>
      </c>
      <c r="C19" s="45">
        <v>5000072</v>
      </c>
      <c r="D19" s="41" t="s">
        <v>169</v>
      </c>
      <c r="E19" s="41" t="s">
        <v>66</v>
      </c>
      <c r="F19" s="43"/>
      <c r="G19" s="43"/>
      <c r="H19" s="43"/>
      <c r="I19" s="43" t="s">
        <v>49</v>
      </c>
      <c r="J19" s="43" t="s">
        <v>49</v>
      </c>
      <c r="K19" s="8" t="s">
        <v>110</v>
      </c>
      <c r="N19">
        <f>14/20</f>
        <v>0.7</v>
      </c>
    </row>
    <row r="21" spans="2:14" x14ac:dyDescent="0.25">
      <c r="C21"/>
      <c r="D21"/>
      <c r="E21"/>
      <c r="F21"/>
      <c r="G21"/>
      <c r="H21"/>
      <c r="I21"/>
      <c r="J21"/>
    </row>
    <row r="22" spans="2:14" x14ac:dyDescent="0.25">
      <c r="B22" s="36" t="s">
        <v>77</v>
      </c>
      <c r="D22" s="21" t="s">
        <v>78</v>
      </c>
      <c r="E22"/>
      <c r="F22" s="105"/>
      <c r="G22"/>
      <c r="H22"/>
      <c r="I22"/>
      <c r="J22"/>
    </row>
    <row r="23" spans="2:14" x14ac:dyDescent="0.25">
      <c r="B23" s="36" t="s">
        <v>170</v>
      </c>
      <c r="D23" s="28" t="s">
        <v>171</v>
      </c>
      <c r="E23"/>
      <c r="F23"/>
      <c r="G23"/>
      <c r="H23"/>
      <c r="I23"/>
      <c r="J23"/>
    </row>
    <row r="24" spans="2:14" x14ac:dyDescent="0.25">
      <c r="B24" s="36" t="s">
        <v>80</v>
      </c>
      <c r="D24" s="24" t="s">
        <v>74</v>
      </c>
      <c r="E24"/>
      <c r="F24"/>
      <c r="G24"/>
      <c r="H24"/>
      <c r="I24"/>
      <c r="J24"/>
    </row>
    <row r="25" spans="2:14" x14ac:dyDescent="0.25">
      <c r="B25" t="s">
        <v>172</v>
      </c>
      <c r="C25" s="1" t="s">
        <v>173</v>
      </c>
      <c r="D25" s="74" t="s">
        <v>161</v>
      </c>
      <c r="E25" s="144" t="s">
        <v>174</v>
      </c>
      <c r="F25"/>
      <c r="G25"/>
      <c r="H25"/>
      <c r="I25"/>
      <c r="J25"/>
    </row>
    <row r="26" spans="2:14" x14ac:dyDescent="0.25">
      <c r="B26" s="36" t="s">
        <v>175</v>
      </c>
      <c r="C26" s="1" t="s">
        <v>173</v>
      </c>
      <c r="D26" s="45" t="s">
        <v>176</v>
      </c>
      <c r="E26" s="144" t="s">
        <v>177</v>
      </c>
      <c r="F26"/>
      <c r="G26"/>
      <c r="H26"/>
      <c r="I26"/>
      <c r="J26"/>
    </row>
    <row r="27" spans="2:14" x14ac:dyDescent="0.25">
      <c r="B27" s="36" t="s">
        <v>83</v>
      </c>
      <c r="D27" s="45">
        <v>5000072</v>
      </c>
      <c r="E27"/>
      <c r="F27"/>
      <c r="G27"/>
      <c r="H27"/>
      <c r="I27"/>
      <c r="J27"/>
    </row>
    <row r="28" spans="2:14" x14ac:dyDescent="0.25">
      <c r="B28" s="36" t="s">
        <v>84</v>
      </c>
      <c r="D28" s="51" t="s">
        <v>85</v>
      </c>
      <c r="E28"/>
      <c r="F28"/>
      <c r="G28"/>
      <c r="H28"/>
      <c r="I28"/>
      <c r="J28"/>
    </row>
    <row r="29" spans="2:14" x14ac:dyDescent="0.25">
      <c r="B29" s="75"/>
      <c r="C29"/>
    </row>
    <row r="30" spans="2:14" x14ac:dyDescent="0.25">
      <c r="B30" s="75"/>
      <c r="E30" s="98"/>
    </row>
  </sheetData>
  <mergeCells count="7">
    <mergeCell ref="B2:J2"/>
    <mergeCell ref="K3:K4"/>
    <mergeCell ref="B3:B4"/>
    <mergeCell ref="C3:C4"/>
    <mergeCell ref="D3:D4"/>
    <mergeCell ref="E3:E4"/>
    <mergeCell ref="F3:J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6"/>
  <sheetViews>
    <sheetView zoomScaleNormal="100" workbookViewId="0">
      <selection activeCell="A7" sqref="A7:XFD7"/>
    </sheetView>
  </sheetViews>
  <sheetFormatPr defaultColWidth="10.875" defaultRowHeight="15.75" x14ac:dyDescent="0.25"/>
  <cols>
    <col min="2" max="2" width="51.25" bestFit="1" customWidth="1"/>
    <col min="3" max="3" width="10.75" style="1" bestFit="1" customWidth="1"/>
    <col min="4" max="5" width="12.875" style="1" customWidth="1"/>
    <col min="6" max="9" width="6.125" style="1" customWidth="1"/>
    <col min="10" max="10" width="6.125" style="1" bestFit="1" customWidth="1"/>
    <col min="11" max="11" width="6.125" style="1" customWidth="1"/>
  </cols>
  <sheetData>
    <row r="1" spans="2:13" ht="16.5" thickBot="1" x14ac:dyDescent="0.3"/>
    <row r="2" spans="2:13" ht="32.25" thickBot="1" x14ac:dyDescent="0.55000000000000004">
      <c r="B2" s="211" t="s">
        <v>178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3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5"/>
      <c r="K3" s="227"/>
      <c r="L3" s="214" t="s">
        <v>114</v>
      </c>
    </row>
    <row r="4" spans="2:13" ht="29.45" customHeight="1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3" x14ac:dyDescent="0.25">
      <c r="B5" s="79" t="s">
        <v>47</v>
      </c>
      <c r="C5" s="107" t="s">
        <v>87</v>
      </c>
      <c r="D5" s="80">
        <v>1</v>
      </c>
      <c r="E5" s="80"/>
      <c r="F5" s="78"/>
      <c r="G5" s="78" t="s">
        <v>49</v>
      </c>
      <c r="H5" s="78" t="s">
        <v>49</v>
      </c>
      <c r="I5" s="78" t="s">
        <v>49</v>
      </c>
      <c r="J5" s="78" t="s">
        <v>49</v>
      </c>
      <c r="K5" s="113" t="s">
        <v>49</v>
      </c>
      <c r="L5" s="124" t="s">
        <v>140</v>
      </c>
      <c r="M5" s="118" t="s">
        <v>141</v>
      </c>
    </row>
    <row r="6" spans="2:13" x14ac:dyDescent="0.25">
      <c r="B6" s="81" t="s">
        <v>142</v>
      </c>
      <c r="C6" s="25" t="s">
        <v>180</v>
      </c>
      <c r="D6" s="82">
        <v>1</v>
      </c>
      <c r="E6" s="82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11" t="s">
        <v>49</v>
      </c>
      <c r="L6" s="25" t="s">
        <v>181</v>
      </c>
      <c r="M6" s="95"/>
    </row>
    <row r="7" spans="2:13" x14ac:dyDescent="0.25">
      <c r="B7" s="81" t="s">
        <v>147</v>
      </c>
      <c r="C7" s="119" t="s">
        <v>91</v>
      </c>
      <c r="D7" s="82">
        <v>1</v>
      </c>
      <c r="E7" s="82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" t="s">
        <v>49</v>
      </c>
      <c r="L7" s="25" t="s">
        <v>92</v>
      </c>
      <c r="M7" s="95"/>
    </row>
    <row r="8" spans="2:13" x14ac:dyDescent="0.25">
      <c r="B8" s="81" t="s">
        <v>52</v>
      </c>
      <c r="C8" s="25" t="s">
        <v>182</v>
      </c>
      <c r="D8" s="82">
        <v>1</v>
      </c>
      <c r="E8" s="82"/>
      <c r="F8" s="25"/>
      <c r="G8" s="25"/>
      <c r="H8" s="25" t="s">
        <v>49</v>
      </c>
      <c r="I8" s="25" t="s">
        <v>49</v>
      </c>
      <c r="J8" s="25" t="s">
        <v>49</v>
      </c>
      <c r="K8" s="11" t="s">
        <v>49</v>
      </c>
      <c r="L8" s="114"/>
    </row>
    <row r="9" spans="2:13" x14ac:dyDescent="0.25">
      <c r="B9" s="81" t="s">
        <v>54</v>
      </c>
      <c r="C9" s="25" t="s">
        <v>183</v>
      </c>
      <c r="D9" s="82">
        <v>1</v>
      </c>
      <c r="E9" s="82"/>
      <c r="F9" s="25"/>
      <c r="G9" s="25"/>
      <c r="H9" s="25"/>
      <c r="I9" s="25" t="s">
        <v>49</v>
      </c>
      <c r="J9" s="25" t="s">
        <v>49</v>
      </c>
      <c r="K9" s="11" t="s">
        <v>49</v>
      </c>
      <c r="L9" s="114"/>
    </row>
    <row r="10" spans="2:13" x14ac:dyDescent="0.25">
      <c r="B10" s="81" t="s">
        <v>56</v>
      </c>
      <c r="C10" s="25" t="s">
        <v>150</v>
      </c>
      <c r="D10" s="82">
        <v>1</v>
      </c>
      <c r="E10" s="82"/>
      <c r="F10" s="25"/>
      <c r="G10" s="25"/>
      <c r="H10" s="25"/>
      <c r="I10" s="25"/>
      <c r="J10" s="25" t="s">
        <v>49</v>
      </c>
      <c r="K10" s="11" t="s">
        <v>49</v>
      </c>
      <c r="L10" s="114"/>
    </row>
    <row r="11" spans="2:13" x14ac:dyDescent="0.25">
      <c r="B11" s="81" t="s">
        <v>128</v>
      </c>
      <c r="C11" s="25" t="s">
        <v>184</v>
      </c>
      <c r="D11" s="82">
        <v>1</v>
      </c>
      <c r="E11" s="82"/>
      <c r="F11" s="25"/>
      <c r="G11" s="25"/>
      <c r="H11" s="25"/>
      <c r="I11" s="25" t="s">
        <v>49</v>
      </c>
      <c r="J11" s="25" t="s">
        <v>49</v>
      </c>
      <c r="K11" s="11" t="s">
        <v>49</v>
      </c>
      <c r="L11" s="114"/>
    </row>
    <row r="12" spans="2:13" x14ac:dyDescent="0.25">
      <c r="B12" s="3" t="s">
        <v>152</v>
      </c>
      <c r="C12" s="14" t="s">
        <v>185</v>
      </c>
      <c r="D12" s="2">
        <v>1</v>
      </c>
      <c r="E12" s="2"/>
      <c r="F12" s="14"/>
      <c r="G12" s="14"/>
      <c r="H12" s="14"/>
      <c r="I12" s="14"/>
      <c r="J12" s="14"/>
      <c r="K12" s="11" t="s">
        <v>49</v>
      </c>
      <c r="L12" s="114"/>
    </row>
    <row r="13" spans="2:13" x14ac:dyDescent="0.25">
      <c r="B13" s="3" t="s">
        <v>186</v>
      </c>
      <c r="C13" s="14" t="s">
        <v>187</v>
      </c>
      <c r="D13" s="2">
        <v>2</v>
      </c>
      <c r="E13" s="2"/>
      <c r="F13" s="14"/>
      <c r="G13" s="14"/>
      <c r="H13" s="14"/>
      <c r="I13" s="14"/>
      <c r="J13" s="14" t="s">
        <v>49</v>
      </c>
      <c r="K13" s="11" t="s">
        <v>49</v>
      </c>
      <c r="L13" s="114"/>
    </row>
    <row r="14" spans="2:13" x14ac:dyDescent="0.25">
      <c r="B14" s="3" t="s">
        <v>188</v>
      </c>
      <c r="C14" s="123" t="s">
        <v>189</v>
      </c>
      <c r="D14" s="2">
        <v>4</v>
      </c>
      <c r="E14" s="2"/>
      <c r="F14" s="14"/>
      <c r="G14" s="14"/>
      <c r="H14" s="14"/>
      <c r="I14" s="14"/>
      <c r="J14" s="14"/>
      <c r="K14" s="11" t="s">
        <v>49</v>
      </c>
      <c r="L14" s="114"/>
    </row>
    <row r="15" spans="2:13" x14ac:dyDescent="0.25">
      <c r="B15" s="239" t="s">
        <v>190</v>
      </c>
      <c r="C15" s="14" t="s">
        <v>191</v>
      </c>
      <c r="D15" s="2">
        <v>1</v>
      </c>
      <c r="E15" s="2"/>
      <c r="F15" s="14"/>
      <c r="G15" s="14"/>
      <c r="H15" s="14"/>
      <c r="I15" s="14"/>
      <c r="J15" s="14"/>
      <c r="K15" s="11" t="s">
        <v>49</v>
      </c>
      <c r="L15" s="114"/>
    </row>
    <row r="16" spans="2:13" x14ac:dyDescent="0.25">
      <c r="B16" s="239"/>
      <c r="C16" s="14" t="s">
        <v>192</v>
      </c>
      <c r="D16" s="2">
        <v>1</v>
      </c>
      <c r="E16" s="2"/>
      <c r="F16" s="14"/>
      <c r="G16" s="14"/>
      <c r="H16" s="14"/>
      <c r="I16" s="14"/>
      <c r="J16" s="14"/>
      <c r="K16" s="11" t="s">
        <v>49</v>
      </c>
      <c r="L16" s="114"/>
    </row>
    <row r="17" spans="2:12" x14ac:dyDescent="0.25">
      <c r="B17" s="239"/>
      <c r="C17" s="14" t="s">
        <v>193</v>
      </c>
      <c r="D17" s="2">
        <v>1</v>
      </c>
      <c r="E17" s="2"/>
      <c r="F17" s="14"/>
      <c r="G17" s="14"/>
      <c r="H17" s="14"/>
      <c r="I17" s="14"/>
      <c r="J17" s="14"/>
      <c r="K17" s="11" t="s">
        <v>49</v>
      </c>
      <c r="L17" s="114"/>
    </row>
    <row r="18" spans="2:12" x14ac:dyDescent="0.25">
      <c r="B18" s="238" t="s">
        <v>194</v>
      </c>
      <c r="C18" s="14" t="s">
        <v>195</v>
      </c>
      <c r="D18" s="2">
        <v>1</v>
      </c>
      <c r="E18" s="2"/>
      <c r="F18" s="14"/>
      <c r="G18" s="14"/>
      <c r="H18" s="14"/>
      <c r="I18" s="14"/>
      <c r="J18" s="14"/>
      <c r="K18" s="11" t="s">
        <v>49</v>
      </c>
      <c r="L18" s="114"/>
    </row>
    <row r="19" spans="2:12" x14ac:dyDescent="0.25">
      <c r="B19" s="238"/>
      <c r="C19" s="14" t="s">
        <v>196</v>
      </c>
      <c r="D19" s="2">
        <v>1</v>
      </c>
      <c r="E19" s="2"/>
      <c r="F19" s="14"/>
      <c r="G19" s="14"/>
      <c r="H19" s="14"/>
      <c r="I19" s="14"/>
      <c r="J19" s="14"/>
      <c r="K19" s="11" t="s">
        <v>49</v>
      </c>
      <c r="L19" s="114"/>
    </row>
    <row r="20" spans="2:12" x14ac:dyDescent="0.25">
      <c r="B20" s="38" t="s">
        <v>67</v>
      </c>
      <c r="C20" s="21" t="s">
        <v>68</v>
      </c>
      <c r="D20" s="20" t="s">
        <v>197</v>
      </c>
      <c r="E20" s="20" t="s">
        <v>66</v>
      </c>
      <c r="F20" s="21"/>
      <c r="G20" s="21"/>
      <c r="H20" s="21"/>
      <c r="I20" s="21"/>
      <c r="J20" s="21" t="s">
        <v>49</v>
      </c>
      <c r="K20" s="39" t="s">
        <v>49</v>
      </c>
      <c r="L20" s="8">
        <v>46</v>
      </c>
    </row>
    <row r="21" spans="2:12" x14ac:dyDescent="0.25">
      <c r="B21" s="37" t="s">
        <v>64</v>
      </c>
      <c r="C21" s="24" t="s">
        <v>65</v>
      </c>
      <c r="D21" s="23" t="s">
        <v>198</v>
      </c>
      <c r="E21" s="23" t="s">
        <v>66</v>
      </c>
      <c r="F21" s="24"/>
      <c r="G21" s="24" t="s">
        <v>49</v>
      </c>
      <c r="H21" s="24" t="s">
        <v>49</v>
      </c>
      <c r="I21" s="24" t="s">
        <v>49</v>
      </c>
      <c r="J21" s="24" t="s">
        <v>49</v>
      </c>
      <c r="K21" s="32" t="s">
        <v>49</v>
      </c>
      <c r="L21" s="8" t="s">
        <v>135</v>
      </c>
    </row>
    <row r="22" spans="2:12" x14ac:dyDescent="0.25">
      <c r="B22" s="48" t="s">
        <v>156</v>
      </c>
      <c r="C22" s="28" t="s">
        <v>157</v>
      </c>
      <c r="D22" s="22" t="s">
        <v>199</v>
      </c>
      <c r="E22" s="22" t="s">
        <v>66</v>
      </c>
      <c r="F22" s="28"/>
      <c r="G22" s="28"/>
      <c r="H22" s="137" t="s">
        <v>49</v>
      </c>
      <c r="I22" s="28" t="s">
        <v>49</v>
      </c>
      <c r="J22" s="28" t="s">
        <v>49</v>
      </c>
      <c r="K22" s="49" t="s">
        <v>49</v>
      </c>
      <c r="L22" s="8" t="s">
        <v>159</v>
      </c>
    </row>
    <row r="23" spans="2:12" x14ac:dyDescent="0.25">
      <c r="B23" s="53" t="s">
        <v>160</v>
      </c>
      <c r="C23" s="74" t="s">
        <v>161</v>
      </c>
      <c r="D23" s="73" t="s">
        <v>200</v>
      </c>
      <c r="E23" s="73" t="s">
        <v>163</v>
      </c>
      <c r="F23" s="106" t="s">
        <v>49</v>
      </c>
      <c r="G23" s="45"/>
      <c r="H23" s="45"/>
      <c r="I23" s="45" t="s">
        <v>49</v>
      </c>
      <c r="J23" s="45" t="s">
        <v>49</v>
      </c>
      <c r="K23" s="54" t="s">
        <v>49</v>
      </c>
      <c r="L23" s="8" t="s">
        <v>164</v>
      </c>
    </row>
    <row r="24" spans="2:12" x14ac:dyDescent="0.25">
      <c r="B24" s="53" t="s">
        <v>165</v>
      </c>
      <c r="C24" s="74" t="s">
        <v>166</v>
      </c>
      <c r="D24" s="73" t="s">
        <v>201</v>
      </c>
      <c r="E24" s="73" t="s">
        <v>163</v>
      </c>
      <c r="F24" s="106" t="s">
        <v>49</v>
      </c>
      <c r="G24" s="45"/>
      <c r="H24" s="45"/>
      <c r="I24" s="45" t="s">
        <v>49</v>
      </c>
      <c r="J24" s="45" t="s">
        <v>49</v>
      </c>
      <c r="K24" s="54" t="s">
        <v>49</v>
      </c>
      <c r="L24" s="8" t="s">
        <v>168</v>
      </c>
    </row>
    <row r="25" spans="2:12" ht="16.5" thickBot="1" x14ac:dyDescent="0.3">
      <c r="B25" s="42" t="s">
        <v>75</v>
      </c>
      <c r="C25" s="45">
        <v>5000072</v>
      </c>
      <c r="D25" s="41" t="s">
        <v>136</v>
      </c>
      <c r="E25" s="41" t="s">
        <v>66</v>
      </c>
      <c r="F25" s="43"/>
      <c r="G25" s="43"/>
      <c r="H25" s="43"/>
      <c r="I25" s="43"/>
      <c r="J25" s="43" t="s">
        <v>49</v>
      </c>
      <c r="K25" s="44" t="s">
        <v>49</v>
      </c>
      <c r="L25" s="8" t="s">
        <v>110</v>
      </c>
    </row>
    <row r="26" spans="2:12" x14ac:dyDescent="0.25">
      <c r="F26" s="1" t="s">
        <v>202</v>
      </c>
    </row>
    <row r="27" spans="2:12" x14ac:dyDescent="0.25">
      <c r="C27"/>
      <c r="D27"/>
      <c r="E27" t="s">
        <v>76</v>
      </c>
      <c r="F27" t="s">
        <v>203</v>
      </c>
      <c r="G27"/>
      <c r="H27"/>
      <c r="I27"/>
      <c r="J27"/>
      <c r="K27"/>
    </row>
    <row r="28" spans="2:12" x14ac:dyDescent="0.25">
      <c r="B28" s="36" t="s">
        <v>77</v>
      </c>
      <c r="D28" s="21" t="s">
        <v>79</v>
      </c>
      <c r="E28" s="21" t="s">
        <v>78</v>
      </c>
      <c r="F28" s="122" t="s">
        <v>204</v>
      </c>
      <c r="G28" s="105" t="s">
        <v>205</v>
      </c>
      <c r="H28"/>
      <c r="I28"/>
      <c r="J28"/>
      <c r="K28"/>
    </row>
    <row r="29" spans="2:12" x14ac:dyDescent="0.25">
      <c r="B29" s="36" t="s">
        <v>170</v>
      </c>
      <c r="D29" s="28" t="s">
        <v>171</v>
      </c>
      <c r="E29"/>
      <c r="F29" s="134" t="s">
        <v>204</v>
      </c>
      <c r="G29" s="135" t="s">
        <v>206</v>
      </c>
      <c r="H29"/>
      <c r="I29"/>
      <c r="J29"/>
      <c r="K29"/>
    </row>
    <row r="30" spans="2:12" x14ac:dyDescent="0.25">
      <c r="B30" s="36" t="s">
        <v>80</v>
      </c>
      <c r="D30" s="24" t="s">
        <v>74</v>
      </c>
      <c r="E30"/>
      <c r="F30"/>
      <c r="G30"/>
      <c r="H30"/>
      <c r="I30"/>
      <c r="J30"/>
      <c r="K30"/>
    </row>
    <row r="31" spans="2:12" x14ac:dyDescent="0.25">
      <c r="B31" t="s">
        <v>172</v>
      </c>
      <c r="C31" s="1" t="s">
        <v>173</v>
      </c>
      <c r="D31" s="74" t="s">
        <v>161</v>
      </c>
      <c r="E31" s="144" t="s">
        <v>174</v>
      </c>
      <c r="F31"/>
      <c r="G31"/>
      <c r="H31"/>
      <c r="I31"/>
      <c r="J31"/>
      <c r="K31"/>
    </row>
    <row r="32" spans="2:12" x14ac:dyDescent="0.25">
      <c r="B32" s="36" t="s">
        <v>175</v>
      </c>
      <c r="C32" s="1" t="s">
        <v>173</v>
      </c>
      <c r="D32" s="45" t="s">
        <v>176</v>
      </c>
      <c r="E32" s="144" t="s">
        <v>177</v>
      </c>
      <c r="F32"/>
      <c r="G32"/>
      <c r="H32"/>
      <c r="I32"/>
      <c r="J32"/>
      <c r="K32"/>
    </row>
    <row r="33" spans="2:11" x14ac:dyDescent="0.25">
      <c r="B33" s="36" t="s">
        <v>83</v>
      </c>
      <c r="D33" s="45">
        <v>5000072</v>
      </c>
      <c r="E33"/>
      <c r="F33"/>
      <c r="G33"/>
      <c r="H33"/>
      <c r="I33"/>
      <c r="J33"/>
      <c r="K33"/>
    </row>
    <row r="34" spans="2:11" x14ac:dyDescent="0.25">
      <c r="B34" s="36" t="s">
        <v>84</v>
      </c>
      <c r="D34" s="51" t="s">
        <v>85</v>
      </c>
      <c r="E34"/>
      <c r="F34"/>
      <c r="G34"/>
      <c r="H34"/>
      <c r="I34"/>
      <c r="J34"/>
      <c r="K34"/>
    </row>
    <row r="35" spans="2:11" x14ac:dyDescent="0.25">
      <c r="B35" s="75"/>
      <c r="C35"/>
      <c r="F35"/>
      <c r="G35"/>
      <c r="H35"/>
      <c r="I35"/>
      <c r="J35"/>
      <c r="K35"/>
    </row>
    <row r="36" spans="2:11" x14ac:dyDescent="0.25">
      <c r="B36" s="75"/>
      <c r="E36" s="98"/>
    </row>
  </sheetData>
  <mergeCells count="9">
    <mergeCell ref="B2:K2"/>
    <mergeCell ref="L3:L4"/>
    <mergeCell ref="B18:B19"/>
    <mergeCell ref="B3:B4"/>
    <mergeCell ref="C3:C4"/>
    <mergeCell ref="D3:D4"/>
    <mergeCell ref="F3:K3"/>
    <mergeCell ref="B15:B17"/>
    <mergeCell ref="E3:E4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5"/>
  <sheetViews>
    <sheetView zoomScale="85" zoomScaleNormal="85" workbookViewId="0">
      <selection activeCell="C13" sqref="C13"/>
    </sheetView>
  </sheetViews>
  <sheetFormatPr defaultColWidth="10.875" defaultRowHeight="15.75" x14ac:dyDescent="0.25"/>
  <cols>
    <col min="2" max="2" width="30.375" bestFit="1" customWidth="1"/>
    <col min="3" max="3" width="10.625" style="1" customWidth="1"/>
    <col min="4" max="5" width="12.875" style="1" customWidth="1"/>
    <col min="6" max="8" width="6.125" style="1" customWidth="1"/>
    <col min="9" max="9" width="6.125" style="1" bestFit="1" customWidth="1"/>
    <col min="10" max="10" width="19.5" customWidth="1"/>
  </cols>
  <sheetData>
    <row r="1" spans="2:10" ht="16.5" thickBot="1" x14ac:dyDescent="0.3"/>
    <row r="2" spans="2:10" ht="32.25" thickBot="1" x14ac:dyDescent="0.55000000000000004">
      <c r="B2" s="211" t="s">
        <v>207</v>
      </c>
      <c r="C2" s="212"/>
      <c r="D2" s="212"/>
      <c r="E2" s="212"/>
      <c r="F2" s="212"/>
      <c r="G2" s="212"/>
      <c r="H2" s="212"/>
      <c r="I2" s="213"/>
    </row>
    <row r="3" spans="2:10" ht="16.5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14" t="s">
        <v>114</v>
      </c>
    </row>
    <row r="4" spans="2:10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215"/>
    </row>
    <row r="5" spans="2:10" x14ac:dyDescent="0.25">
      <c r="B5" s="79" t="s">
        <v>47</v>
      </c>
      <c r="C5" s="80" t="s">
        <v>48</v>
      </c>
      <c r="D5" s="80">
        <v>1</v>
      </c>
      <c r="E5" s="80"/>
      <c r="F5" s="78" t="s">
        <v>49</v>
      </c>
      <c r="G5" s="78" t="s">
        <v>49</v>
      </c>
      <c r="H5" s="78" t="s">
        <v>49</v>
      </c>
      <c r="I5" s="78" t="s">
        <v>49</v>
      </c>
      <c r="J5" s="115"/>
    </row>
    <row r="6" spans="2:10" x14ac:dyDescent="0.25">
      <c r="B6" s="81" t="s">
        <v>90</v>
      </c>
      <c r="C6" s="82" t="s">
        <v>208</v>
      </c>
      <c r="D6" s="82">
        <v>1</v>
      </c>
      <c r="E6" s="82"/>
      <c r="F6" s="25" t="s">
        <v>49</v>
      </c>
      <c r="G6" s="25" t="s">
        <v>49</v>
      </c>
      <c r="H6" s="25" t="s">
        <v>49</v>
      </c>
      <c r="I6" s="25" t="s">
        <v>49</v>
      </c>
      <c r="J6" s="114"/>
    </row>
    <row r="7" spans="2:10" x14ac:dyDescent="0.25">
      <c r="B7" s="81" t="s">
        <v>209</v>
      </c>
      <c r="C7" s="82" t="s">
        <v>210</v>
      </c>
      <c r="D7" s="82">
        <v>1</v>
      </c>
      <c r="E7" s="82"/>
      <c r="F7" s="25" t="s">
        <v>49</v>
      </c>
      <c r="G7" s="25" t="s">
        <v>49</v>
      </c>
      <c r="H7" s="25" t="s">
        <v>49</v>
      </c>
      <c r="I7" s="25" t="s">
        <v>49</v>
      </c>
      <c r="J7" s="114"/>
    </row>
    <row r="8" spans="2:10" x14ac:dyDescent="0.25">
      <c r="B8" s="81" t="s">
        <v>52</v>
      </c>
      <c r="C8" s="82" t="s">
        <v>211</v>
      </c>
      <c r="D8" s="82">
        <v>1</v>
      </c>
      <c r="E8" s="82"/>
      <c r="F8" s="25"/>
      <c r="G8" s="25" t="s">
        <v>49</v>
      </c>
      <c r="H8" s="25" t="s">
        <v>49</v>
      </c>
      <c r="I8" s="25" t="s">
        <v>49</v>
      </c>
      <c r="J8" s="114"/>
    </row>
    <row r="9" spans="2:10" x14ac:dyDescent="0.25">
      <c r="B9" s="81" t="s">
        <v>54</v>
      </c>
      <c r="C9" s="82" t="s">
        <v>212</v>
      </c>
      <c r="D9" s="82">
        <v>1</v>
      </c>
      <c r="E9" s="82"/>
      <c r="F9" s="25"/>
      <c r="G9" s="25"/>
      <c r="H9" s="25" t="s">
        <v>49</v>
      </c>
      <c r="I9" s="25" t="s">
        <v>49</v>
      </c>
      <c r="J9" s="114"/>
    </row>
    <row r="10" spans="2:10" x14ac:dyDescent="0.25">
      <c r="B10" s="81" t="s">
        <v>128</v>
      </c>
      <c r="C10" s="82" t="s">
        <v>213</v>
      </c>
      <c r="D10" s="82">
        <v>1</v>
      </c>
      <c r="E10" s="82"/>
      <c r="F10" s="25"/>
      <c r="G10" s="25" t="s">
        <v>49</v>
      </c>
      <c r="H10" s="25" t="s">
        <v>49</v>
      </c>
      <c r="I10" s="25" t="s">
        <v>49</v>
      </c>
      <c r="J10" s="25" t="s">
        <v>214</v>
      </c>
    </row>
    <row r="11" spans="2:10" x14ac:dyDescent="0.25">
      <c r="B11" s="3" t="s">
        <v>152</v>
      </c>
      <c r="C11" s="2" t="s">
        <v>63</v>
      </c>
      <c r="D11" s="2">
        <v>1</v>
      </c>
      <c r="E11" s="2"/>
      <c r="F11" s="14"/>
      <c r="G11" s="14"/>
      <c r="H11" s="14"/>
      <c r="I11" s="14" t="s">
        <v>49</v>
      </c>
      <c r="J11" s="114"/>
    </row>
    <row r="12" spans="2:10" x14ac:dyDescent="0.25">
      <c r="B12" s="38" t="s">
        <v>67</v>
      </c>
      <c r="C12" s="21" t="s">
        <v>68</v>
      </c>
      <c r="D12" s="20" t="s">
        <v>215</v>
      </c>
      <c r="E12" s="20" t="s">
        <v>66</v>
      </c>
      <c r="F12" s="21"/>
      <c r="G12" s="21"/>
      <c r="H12" s="21"/>
      <c r="I12" s="21" t="s">
        <v>49</v>
      </c>
      <c r="J12" s="8" t="s">
        <v>216</v>
      </c>
    </row>
    <row r="13" spans="2:10" x14ac:dyDescent="0.25">
      <c r="B13" s="37" t="s">
        <v>64</v>
      </c>
      <c r="C13" s="24" t="s">
        <v>65</v>
      </c>
      <c r="D13" s="23" t="s">
        <v>217</v>
      </c>
      <c r="E13" s="23" t="s">
        <v>66</v>
      </c>
      <c r="F13" s="24" t="s">
        <v>49</v>
      </c>
      <c r="G13" s="24" t="s">
        <v>49</v>
      </c>
      <c r="H13" s="24" t="s">
        <v>49</v>
      </c>
      <c r="I13" s="24" t="s">
        <v>49</v>
      </c>
      <c r="J13" s="8" t="s">
        <v>135</v>
      </c>
    </row>
    <row r="14" spans="2:10" x14ac:dyDescent="0.25">
      <c r="B14" s="50" t="s">
        <v>84</v>
      </c>
      <c r="C14" s="46" t="s">
        <v>85</v>
      </c>
      <c r="D14" s="46">
        <v>1</v>
      </c>
      <c r="E14" s="46" t="s">
        <v>218</v>
      </c>
      <c r="F14" s="51" t="s">
        <v>72</v>
      </c>
      <c r="G14" s="51" t="s">
        <v>49</v>
      </c>
      <c r="H14" s="51" t="s">
        <v>49</v>
      </c>
      <c r="I14" s="51" t="s">
        <v>49</v>
      </c>
      <c r="J14" s="8"/>
    </row>
    <row r="15" spans="2:10" x14ac:dyDescent="0.25">
      <c r="B15" s="3" t="s">
        <v>69</v>
      </c>
      <c r="C15" s="2" t="s">
        <v>70</v>
      </c>
      <c r="D15" s="2">
        <v>1</v>
      </c>
      <c r="E15" s="2" t="s">
        <v>71</v>
      </c>
      <c r="F15" s="14" t="s">
        <v>72</v>
      </c>
      <c r="G15" s="14" t="s">
        <v>72</v>
      </c>
      <c r="H15" s="14" t="s">
        <v>49</v>
      </c>
      <c r="I15" s="14" t="s">
        <v>49</v>
      </c>
      <c r="J15" s="8" t="s">
        <v>108</v>
      </c>
    </row>
    <row r="16" spans="2:10" x14ac:dyDescent="0.25">
      <c r="B16" s="145" t="s">
        <v>73</v>
      </c>
      <c r="C16" s="145" t="s">
        <v>81</v>
      </c>
      <c r="D16" s="147" t="s">
        <v>219</v>
      </c>
      <c r="E16" s="147" t="s">
        <v>66</v>
      </c>
      <c r="F16" s="146"/>
      <c r="G16" s="146"/>
      <c r="H16" s="146"/>
      <c r="I16" s="146" t="s">
        <v>49</v>
      </c>
      <c r="J16" s="8" t="s">
        <v>220</v>
      </c>
    </row>
    <row r="17" spans="2:10" ht="16.5" thickBot="1" x14ac:dyDescent="0.3">
      <c r="B17" s="42" t="s">
        <v>75</v>
      </c>
      <c r="C17" s="45">
        <v>5000072</v>
      </c>
      <c r="D17" s="41" t="s">
        <v>136</v>
      </c>
      <c r="E17" s="41" t="s">
        <v>66</v>
      </c>
      <c r="F17" s="43"/>
      <c r="G17" s="43"/>
      <c r="H17" s="43"/>
      <c r="I17" s="43" t="s">
        <v>49</v>
      </c>
      <c r="J17" s="8" t="s">
        <v>110</v>
      </c>
    </row>
    <row r="19" spans="2:10" x14ac:dyDescent="0.25">
      <c r="C19"/>
      <c r="D19" t="s">
        <v>76</v>
      </c>
      <c r="E19"/>
      <c r="F19"/>
      <c r="G19"/>
      <c r="H19"/>
      <c r="I19"/>
    </row>
    <row r="20" spans="2:10" x14ac:dyDescent="0.25">
      <c r="B20" s="36" t="s">
        <v>77</v>
      </c>
      <c r="C20" s="21" t="s">
        <v>79</v>
      </c>
      <c r="D20" s="21" t="s">
        <v>78</v>
      </c>
      <c r="E20"/>
      <c r="F20"/>
      <c r="G20"/>
      <c r="H20"/>
      <c r="I20"/>
    </row>
    <row r="21" spans="2:10" ht="17.25" customHeight="1" x14ac:dyDescent="0.25">
      <c r="B21" s="36" t="s">
        <v>221</v>
      </c>
      <c r="C21" s="146" t="s">
        <v>222</v>
      </c>
      <c r="D21" t="s">
        <v>74</v>
      </c>
      <c r="E21"/>
      <c r="F21"/>
      <c r="G21"/>
      <c r="H21"/>
      <c r="I21"/>
    </row>
    <row r="22" spans="2:10" x14ac:dyDescent="0.25">
      <c r="B22" s="36" t="s">
        <v>80</v>
      </c>
      <c r="C22" s="24" t="s">
        <v>74</v>
      </c>
      <c r="D22"/>
      <c r="E22"/>
      <c r="F22"/>
      <c r="G22"/>
      <c r="H22"/>
      <c r="I22"/>
    </row>
    <row r="23" spans="2:10" ht="16.5" customHeight="1" x14ac:dyDescent="0.25">
      <c r="B23" s="36" t="s">
        <v>223</v>
      </c>
      <c r="C23" s="45">
        <v>5000072</v>
      </c>
      <c r="D23"/>
      <c r="E23"/>
      <c r="F23"/>
      <c r="G23"/>
      <c r="H23"/>
      <c r="I23"/>
    </row>
    <row r="24" spans="2:10" x14ac:dyDescent="0.25">
      <c r="B24" s="36" t="s">
        <v>84</v>
      </c>
      <c r="C24" s="46" t="s">
        <v>85</v>
      </c>
      <c r="D24"/>
      <c r="E24"/>
      <c r="F24"/>
      <c r="G24"/>
      <c r="H24"/>
      <c r="I24"/>
    </row>
    <row r="25" spans="2:10" x14ac:dyDescent="0.25">
      <c r="C25"/>
      <c r="D25"/>
      <c r="E25"/>
      <c r="F25"/>
      <c r="G25"/>
      <c r="H25"/>
      <c r="I25"/>
    </row>
  </sheetData>
  <mergeCells count="7">
    <mergeCell ref="B2:I2"/>
    <mergeCell ref="J3:J4"/>
    <mergeCell ref="B3:B4"/>
    <mergeCell ref="C3:C4"/>
    <mergeCell ref="F3:I3"/>
    <mergeCell ref="D3:D4"/>
    <mergeCell ref="E3:E4"/>
  </mergeCells>
  <phoneticPr fontId="4" type="noConversion"/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207C-DA23-4E62-81FD-C902C85516C7}">
  <dimension ref="B1:L32"/>
  <sheetViews>
    <sheetView zoomScaleNormal="100" workbookViewId="0">
      <selection activeCell="L28" sqref="L28"/>
    </sheetView>
  </sheetViews>
  <sheetFormatPr defaultColWidth="10.875" defaultRowHeight="15.75" x14ac:dyDescent="0.25"/>
  <cols>
    <col min="2" max="2" width="52.25" bestFit="1" customWidth="1"/>
    <col min="3" max="3" width="12.375" style="1" customWidth="1"/>
    <col min="4" max="5" width="12.875" style="1" customWidth="1"/>
    <col min="6" max="8" width="6.125" style="1" customWidth="1"/>
    <col min="9" max="9" width="6.125" style="1" bestFit="1" customWidth="1"/>
    <col min="10" max="10" width="6.125" style="1" customWidth="1"/>
    <col min="11" max="11" width="13.125" customWidth="1"/>
  </cols>
  <sheetData>
    <row r="1" spans="2:12" ht="16.5" thickBot="1" x14ac:dyDescent="0.3"/>
    <row r="2" spans="2:12" s="142" customFormat="1" ht="32.25" thickBot="1" x14ac:dyDescent="0.55000000000000004">
      <c r="B2" s="211" t="s">
        <v>224</v>
      </c>
      <c r="C2" s="212"/>
      <c r="D2" s="212"/>
      <c r="E2" s="212"/>
      <c r="F2" s="212"/>
      <c r="G2" s="212"/>
      <c r="H2" s="212"/>
      <c r="I2" s="212"/>
      <c r="J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14" t="s">
        <v>114</v>
      </c>
    </row>
    <row r="4" spans="2:12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6000</v>
      </c>
      <c r="K4" s="215"/>
    </row>
    <row r="5" spans="2:12" x14ac:dyDescent="0.25">
      <c r="B5" s="77" t="s">
        <v>47</v>
      </c>
      <c r="C5" s="107" t="s">
        <v>225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78" t="s">
        <v>49</v>
      </c>
      <c r="K5" s="90" t="s">
        <v>226</v>
      </c>
      <c r="L5" s="141"/>
    </row>
    <row r="6" spans="2:12" x14ac:dyDescent="0.25">
      <c r="B6" s="60" t="s">
        <v>142</v>
      </c>
      <c r="C6" s="25" t="s">
        <v>227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25" t="s">
        <v>49</v>
      </c>
      <c r="K6" s="26" t="s">
        <v>228</v>
      </c>
    </row>
    <row r="7" spans="2:12" x14ac:dyDescent="0.25">
      <c r="B7" s="60" t="s">
        <v>229</v>
      </c>
      <c r="C7" s="25" t="s">
        <v>230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4"/>
    </row>
    <row r="8" spans="2:12" x14ac:dyDescent="0.25">
      <c r="B8" s="60" t="s">
        <v>231</v>
      </c>
      <c r="C8" s="25" t="s">
        <v>232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114"/>
    </row>
    <row r="9" spans="2:12" x14ac:dyDescent="0.25">
      <c r="B9" s="60" t="s">
        <v>233</v>
      </c>
      <c r="C9" s="25" t="s">
        <v>234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140" t="s">
        <v>235</v>
      </c>
    </row>
    <row r="10" spans="2:12" x14ac:dyDescent="0.25">
      <c r="B10" s="60" t="s">
        <v>236</v>
      </c>
      <c r="C10" s="25" t="s">
        <v>237</v>
      </c>
      <c r="D10" s="25">
        <v>1</v>
      </c>
      <c r="E10" s="25"/>
      <c r="F10" s="25"/>
      <c r="G10" s="25"/>
      <c r="H10" s="25"/>
      <c r="I10" s="25" t="s">
        <v>49</v>
      </c>
      <c r="J10" s="25" t="s">
        <v>49</v>
      </c>
      <c r="K10" s="114"/>
    </row>
    <row r="11" spans="2:12" x14ac:dyDescent="0.25">
      <c r="B11" s="60" t="s">
        <v>238</v>
      </c>
      <c r="C11" s="25" t="s">
        <v>239</v>
      </c>
      <c r="D11" s="25">
        <v>1</v>
      </c>
      <c r="E11" s="25"/>
      <c r="F11" s="25"/>
      <c r="G11" s="25" t="s">
        <v>49</v>
      </c>
      <c r="H11" s="25" t="s">
        <v>49</v>
      </c>
      <c r="I11" s="25" t="s">
        <v>49</v>
      </c>
      <c r="J11" s="25" t="s">
        <v>49</v>
      </c>
      <c r="K11" s="114"/>
    </row>
    <row r="12" spans="2:12" x14ac:dyDescent="0.25">
      <c r="B12" s="60" t="s">
        <v>240</v>
      </c>
      <c r="C12" s="107" t="s">
        <v>241</v>
      </c>
      <c r="D12" s="25">
        <v>1</v>
      </c>
      <c r="E12" s="25"/>
      <c r="F12" s="25"/>
      <c r="G12" s="25" t="s">
        <v>49</v>
      </c>
      <c r="H12" s="25" t="s">
        <v>49</v>
      </c>
      <c r="I12" s="25" t="s">
        <v>49</v>
      </c>
      <c r="J12" s="25" t="s">
        <v>49</v>
      </c>
      <c r="K12" s="25"/>
    </row>
    <row r="13" spans="2:12" x14ac:dyDescent="0.25">
      <c r="B13" s="10" t="s">
        <v>152</v>
      </c>
      <c r="C13" s="14" t="s">
        <v>242</v>
      </c>
      <c r="D13" s="14">
        <v>1</v>
      </c>
      <c r="E13" s="14"/>
      <c r="F13" s="14"/>
      <c r="G13" s="14"/>
      <c r="H13" s="14"/>
      <c r="I13" s="14"/>
      <c r="J13" s="14" t="s">
        <v>49</v>
      </c>
      <c r="K13" s="114"/>
    </row>
    <row r="14" spans="2:12" x14ac:dyDescent="0.25">
      <c r="B14" s="57" t="s">
        <v>67</v>
      </c>
      <c r="C14" s="21" t="s">
        <v>68</v>
      </c>
      <c r="D14" s="21" t="s">
        <v>243</v>
      </c>
      <c r="E14" s="21" t="s">
        <v>66</v>
      </c>
      <c r="F14" s="21"/>
      <c r="G14" s="21"/>
      <c r="H14" s="21"/>
      <c r="I14" s="21" t="s">
        <v>49</v>
      </c>
      <c r="J14" s="21" t="s">
        <v>49</v>
      </c>
      <c r="K14" s="8">
        <v>46</v>
      </c>
    </row>
    <row r="15" spans="2:12" ht="21" x14ac:dyDescent="0.35">
      <c r="B15" s="33" t="s">
        <v>64</v>
      </c>
      <c r="C15" s="24" t="s">
        <v>65</v>
      </c>
      <c r="D15" s="24">
        <v>15</v>
      </c>
      <c r="E15" s="24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24" t="s">
        <v>49</v>
      </c>
      <c r="K15" s="8" t="s">
        <v>135</v>
      </c>
      <c r="L15" s="112"/>
    </row>
    <row r="16" spans="2:12" x14ac:dyDescent="0.25">
      <c r="B16" s="62" t="s">
        <v>244</v>
      </c>
      <c r="C16" s="63" t="s">
        <v>245</v>
      </c>
      <c r="D16" s="63" t="s">
        <v>246</v>
      </c>
      <c r="E16" s="63" t="s">
        <v>66</v>
      </c>
      <c r="F16" s="63"/>
      <c r="G16" s="63"/>
      <c r="H16" s="63" t="s">
        <v>49</v>
      </c>
      <c r="I16" s="63" t="s">
        <v>49</v>
      </c>
      <c r="J16" s="63" t="s">
        <v>49</v>
      </c>
      <c r="K16" s="8" t="s">
        <v>247</v>
      </c>
    </row>
    <row r="17" spans="2:11" x14ac:dyDescent="0.25">
      <c r="B17" s="60" t="s">
        <v>248</v>
      </c>
      <c r="C17" s="26" t="s">
        <v>249</v>
      </c>
      <c r="D17" s="26" t="s">
        <v>158</v>
      </c>
      <c r="E17" s="26" t="s">
        <v>66</v>
      </c>
      <c r="F17" s="25"/>
      <c r="G17" s="25"/>
      <c r="H17" s="25" t="s">
        <v>49</v>
      </c>
      <c r="I17" s="25" t="s">
        <v>49</v>
      </c>
      <c r="J17" s="25" t="s">
        <v>49</v>
      </c>
      <c r="K17" s="8" t="s">
        <v>250</v>
      </c>
    </row>
    <row r="18" spans="2:11" x14ac:dyDescent="0.25">
      <c r="B18" s="59" t="s">
        <v>251</v>
      </c>
      <c r="C18" s="28" t="s">
        <v>157</v>
      </c>
      <c r="D18" s="27" t="s">
        <v>252</v>
      </c>
      <c r="E18" s="27" t="s">
        <v>66</v>
      </c>
      <c r="F18" s="28"/>
      <c r="G18" s="116"/>
      <c r="H18" s="28" t="s">
        <v>49</v>
      </c>
      <c r="I18" s="28" t="s">
        <v>49</v>
      </c>
      <c r="J18" s="28" t="s">
        <v>49</v>
      </c>
      <c r="K18" s="8" t="s">
        <v>253</v>
      </c>
    </row>
    <row r="19" spans="2:11" x14ac:dyDescent="0.25">
      <c r="B19" s="99" t="s">
        <v>254</v>
      </c>
      <c r="C19" s="100" t="s">
        <v>245</v>
      </c>
      <c r="D19" s="101" t="s">
        <v>255</v>
      </c>
      <c r="E19" s="101"/>
      <c r="F19" s="100"/>
      <c r="G19" s="100"/>
      <c r="H19" s="100"/>
      <c r="I19" s="100" t="s">
        <v>49</v>
      </c>
      <c r="J19" s="100" t="s">
        <v>49</v>
      </c>
      <c r="K19" s="8" t="s">
        <v>256</v>
      </c>
    </row>
    <row r="20" spans="2:11" x14ac:dyDescent="0.25">
      <c r="B20" s="58" t="s">
        <v>75</v>
      </c>
      <c r="C20" s="45">
        <v>5000072</v>
      </c>
      <c r="D20" s="45" t="s">
        <v>257</v>
      </c>
      <c r="E20" s="45" t="s">
        <v>66</v>
      </c>
      <c r="F20" s="45"/>
      <c r="G20" s="45"/>
      <c r="H20" s="45"/>
      <c r="I20" s="45" t="s">
        <v>49</v>
      </c>
      <c r="J20" s="45" t="s">
        <v>49</v>
      </c>
      <c r="K20" s="8" t="s">
        <v>110</v>
      </c>
    </row>
    <row r="21" spans="2:11" x14ac:dyDescent="0.25">
      <c r="B21" s="55" t="s">
        <v>258</v>
      </c>
      <c r="C21" s="51" t="s">
        <v>85</v>
      </c>
      <c r="D21" s="56">
        <v>1</v>
      </c>
      <c r="E21" s="56" t="s">
        <v>218</v>
      </c>
      <c r="F21" s="51" t="s">
        <v>49</v>
      </c>
      <c r="G21" s="51" t="s">
        <v>49</v>
      </c>
      <c r="H21" s="51" t="s">
        <v>49</v>
      </c>
      <c r="I21" s="51" t="s">
        <v>49</v>
      </c>
      <c r="J21" s="51" t="s">
        <v>49</v>
      </c>
      <c r="K21" s="8"/>
    </row>
    <row r="22" spans="2:11" ht="16.5" thickBot="1" x14ac:dyDescent="0.3">
      <c r="B22" s="30" t="s">
        <v>259</v>
      </c>
      <c r="C22" s="5" t="s">
        <v>70</v>
      </c>
      <c r="D22" s="5">
        <v>1</v>
      </c>
      <c r="E22" s="5" t="s">
        <v>71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8" t="s">
        <v>108</v>
      </c>
    </row>
    <row r="24" spans="2:11" x14ac:dyDescent="0.25">
      <c r="C24"/>
      <c r="D24" t="s">
        <v>76</v>
      </c>
      <c r="E24"/>
      <c r="F24"/>
      <c r="G24"/>
      <c r="H24"/>
      <c r="I24"/>
      <c r="J24"/>
    </row>
    <row r="25" spans="2:11" x14ac:dyDescent="0.25">
      <c r="B25" s="36" t="s">
        <v>77</v>
      </c>
      <c r="C25" s="21" t="s">
        <v>78</v>
      </c>
      <c r="D25"/>
      <c r="E25"/>
      <c r="F25" s="105"/>
      <c r="G25"/>
      <c r="H25"/>
      <c r="I25"/>
      <c r="J25"/>
    </row>
    <row r="26" spans="2:11" x14ac:dyDescent="0.25">
      <c r="B26" s="36" t="s">
        <v>260</v>
      </c>
      <c r="C26" s="26" t="s">
        <v>261</v>
      </c>
      <c r="D26" s="26" t="s">
        <v>262</v>
      </c>
      <c r="E26"/>
      <c r="F26" s="105"/>
      <c r="G26"/>
      <c r="H26"/>
      <c r="I26"/>
      <c r="J26"/>
    </row>
    <row r="27" spans="2:11" x14ac:dyDescent="0.25">
      <c r="B27" s="36" t="s">
        <v>170</v>
      </c>
      <c r="C27" s="28" t="s">
        <v>261</v>
      </c>
      <c r="D27" s="28" t="s">
        <v>171</v>
      </c>
      <c r="E27"/>
      <c r="F27"/>
      <c r="G27"/>
      <c r="H27"/>
      <c r="I27"/>
      <c r="J27"/>
    </row>
    <row r="28" spans="2:11" x14ac:dyDescent="0.25">
      <c r="B28" s="36" t="s">
        <v>263</v>
      </c>
      <c r="C28" s="29" t="s">
        <v>264</v>
      </c>
      <c r="D28"/>
      <c r="E28"/>
      <c r="F28"/>
      <c r="G28"/>
      <c r="H28"/>
      <c r="I28"/>
      <c r="J28"/>
    </row>
    <row r="29" spans="2:11" x14ac:dyDescent="0.25">
      <c r="B29" s="36" t="s">
        <v>80</v>
      </c>
      <c r="C29" s="24" t="s">
        <v>74</v>
      </c>
      <c r="D29"/>
      <c r="E29"/>
      <c r="F29"/>
      <c r="G29"/>
      <c r="H29"/>
      <c r="I29"/>
      <c r="J29"/>
    </row>
    <row r="30" spans="2:11" x14ac:dyDescent="0.25">
      <c r="B30" s="36" t="s">
        <v>265</v>
      </c>
      <c r="C30" s="45">
        <v>5000072</v>
      </c>
      <c r="D30"/>
      <c r="E30"/>
      <c r="F30"/>
      <c r="G30"/>
      <c r="H30"/>
      <c r="I30"/>
      <c r="J30"/>
    </row>
    <row r="31" spans="2:11" x14ac:dyDescent="0.25">
      <c r="B31" s="36" t="s">
        <v>84</v>
      </c>
      <c r="C31" s="46" t="s">
        <v>85</v>
      </c>
    </row>
    <row r="32" spans="2:11" x14ac:dyDescent="0.25">
      <c r="B32" s="36" t="s">
        <v>266</v>
      </c>
    </row>
  </sheetData>
  <mergeCells count="7">
    <mergeCell ref="B2:J2"/>
    <mergeCell ref="K3:K4"/>
    <mergeCell ref="B3:B4"/>
    <mergeCell ref="C3:C4"/>
    <mergeCell ref="D3:D4"/>
    <mergeCell ref="E3:E4"/>
    <mergeCell ref="F3:J3"/>
  </mergeCells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2180-FF88-4588-8135-607D45BF34ED}">
  <dimension ref="B1:L32"/>
  <sheetViews>
    <sheetView topLeftCell="B1" workbookViewId="0">
      <selection activeCell="C15" sqref="C15"/>
    </sheetView>
  </sheetViews>
  <sheetFormatPr defaultColWidth="10.875" defaultRowHeight="15.75" x14ac:dyDescent="0.25"/>
  <cols>
    <col min="2" max="2" width="52.25" bestFit="1" customWidth="1"/>
    <col min="3" max="3" width="12.375" style="1" customWidth="1"/>
    <col min="4" max="5" width="12.875" style="1" customWidth="1"/>
    <col min="6" max="8" width="6.125" style="1" customWidth="1"/>
    <col min="9" max="9" width="6.125" style="1" bestFit="1" customWidth="1"/>
    <col min="10" max="10" width="6.125" style="1" customWidth="1"/>
    <col min="11" max="11" width="13" customWidth="1"/>
  </cols>
  <sheetData>
    <row r="1" spans="2:12" ht="16.5" thickBot="1" x14ac:dyDescent="0.3"/>
    <row r="2" spans="2:12" ht="32.25" thickBot="1" x14ac:dyDescent="0.55000000000000004">
      <c r="B2" s="211" t="s">
        <v>267</v>
      </c>
      <c r="C2" s="212"/>
      <c r="D2" s="212"/>
      <c r="E2" s="212"/>
      <c r="F2" s="212"/>
      <c r="G2" s="212"/>
      <c r="H2" s="212"/>
      <c r="I2" s="212"/>
      <c r="J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14" t="s">
        <v>114</v>
      </c>
    </row>
    <row r="4" spans="2:12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6000</v>
      </c>
      <c r="K4" s="215"/>
    </row>
    <row r="5" spans="2:12" x14ac:dyDescent="0.25">
      <c r="B5" s="77" t="s">
        <v>47</v>
      </c>
      <c r="C5" s="107" t="s">
        <v>225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78" t="s">
        <v>49</v>
      </c>
      <c r="K5" s="90" t="s">
        <v>226</v>
      </c>
      <c r="L5" s="141"/>
    </row>
    <row r="6" spans="2:12" x14ac:dyDescent="0.25">
      <c r="B6" s="60" t="s">
        <v>142</v>
      </c>
      <c r="C6" s="25" t="s">
        <v>208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25" t="s">
        <v>49</v>
      </c>
      <c r="K6" s="26" t="s">
        <v>268</v>
      </c>
    </row>
    <row r="7" spans="2:12" x14ac:dyDescent="0.25">
      <c r="B7" s="60" t="s">
        <v>229</v>
      </c>
      <c r="C7" s="25" t="s">
        <v>269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4"/>
    </row>
    <row r="8" spans="2:12" x14ac:dyDescent="0.25">
      <c r="B8" s="60" t="s">
        <v>231</v>
      </c>
      <c r="C8" s="25" t="s">
        <v>270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114"/>
    </row>
    <row r="9" spans="2:12" x14ac:dyDescent="0.25">
      <c r="B9" s="60" t="s">
        <v>233</v>
      </c>
      <c r="C9" s="25" t="s">
        <v>271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140"/>
    </row>
    <row r="10" spans="2:12" x14ac:dyDescent="0.25">
      <c r="B10" s="60" t="s">
        <v>236</v>
      </c>
      <c r="C10" s="25" t="s">
        <v>272</v>
      </c>
      <c r="D10" s="25">
        <v>1</v>
      </c>
      <c r="E10" s="25"/>
      <c r="F10" s="25"/>
      <c r="G10" s="25"/>
      <c r="H10" s="25"/>
      <c r="I10" s="25" t="s">
        <v>49</v>
      </c>
      <c r="J10" s="25" t="s">
        <v>49</v>
      </c>
      <c r="K10" s="114"/>
    </row>
    <row r="11" spans="2:12" x14ac:dyDescent="0.25">
      <c r="B11" s="60" t="s">
        <v>238</v>
      </c>
      <c r="C11" s="25" t="s">
        <v>273</v>
      </c>
      <c r="D11" s="25">
        <v>1</v>
      </c>
      <c r="E11" s="25"/>
      <c r="F11" s="25"/>
      <c r="G11" s="25" t="s">
        <v>49</v>
      </c>
      <c r="H11" s="25" t="s">
        <v>49</v>
      </c>
      <c r="I11" s="25" t="s">
        <v>49</v>
      </c>
      <c r="J11" s="25" t="s">
        <v>49</v>
      </c>
      <c r="K11" s="114"/>
    </row>
    <row r="12" spans="2:12" x14ac:dyDescent="0.25">
      <c r="B12" s="60" t="s">
        <v>240</v>
      </c>
      <c r="C12" s="107" t="s">
        <v>274</v>
      </c>
      <c r="D12" s="25">
        <v>1</v>
      </c>
      <c r="E12" s="25"/>
      <c r="F12" s="25"/>
      <c r="G12" s="25" t="s">
        <v>49</v>
      </c>
      <c r="H12" s="25" t="s">
        <v>49</v>
      </c>
      <c r="I12" s="25" t="s">
        <v>49</v>
      </c>
      <c r="J12" s="25" t="s">
        <v>49</v>
      </c>
      <c r="K12" s="25"/>
    </row>
    <row r="13" spans="2:12" x14ac:dyDescent="0.25">
      <c r="B13" s="10" t="s">
        <v>152</v>
      </c>
      <c r="C13" s="14" t="s">
        <v>275</v>
      </c>
      <c r="D13" s="14">
        <v>1</v>
      </c>
      <c r="E13" s="14"/>
      <c r="F13" s="14"/>
      <c r="G13" s="14"/>
      <c r="H13" s="14"/>
      <c r="I13" s="14"/>
      <c r="J13" s="14" t="s">
        <v>49</v>
      </c>
      <c r="K13" s="114"/>
    </row>
    <row r="14" spans="2:12" x14ac:dyDescent="0.25">
      <c r="B14" s="57" t="s">
        <v>67</v>
      </c>
      <c r="C14" s="21" t="s">
        <v>68</v>
      </c>
      <c r="D14" s="21" t="s">
        <v>276</v>
      </c>
      <c r="E14" s="21" t="s">
        <v>66</v>
      </c>
      <c r="F14" s="21"/>
      <c r="G14" s="21"/>
      <c r="H14" s="21"/>
      <c r="I14" s="21" t="s">
        <v>49</v>
      </c>
      <c r="J14" s="21" t="s">
        <v>49</v>
      </c>
      <c r="K14" s="8">
        <v>46</v>
      </c>
    </row>
    <row r="15" spans="2:12" ht="21" x14ac:dyDescent="0.35">
      <c r="B15" s="33" t="s">
        <v>64</v>
      </c>
      <c r="C15" s="24" t="s">
        <v>65</v>
      </c>
      <c r="D15" s="24" t="s">
        <v>277</v>
      </c>
      <c r="E15" s="24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24" t="s">
        <v>49</v>
      </c>
      <c r="K15" s="8" t="s">
        <v>135</v>
      </c>
      <c r="L15" s="112"/>
    </row>
    <row r="16" spans="2:12" x14ac:dyDescent="0.25">
      <c r="B16" s="62" t="s">
        <v>244</v>
      </c>
      <c r="C16" s="63" t="s">
        <v>245</v>
      </c>
      <c r="D16" s="63" t="s">
        <v>278</v>
      </c>
      <c r="E16" s="63" t="s">
        <v>66</v>
      </c>
      <c r="F16" s="63"/>
      <c r="G16" s="63" t="s">
        <v>49</v>
      </c>
      <c r="H16" s="63" t="s">
        <v>49</v>
      </c>
      <c r="I16" s="63" t="s">
        <v>49</v>
      </c>
      <c r="J16" s="63" t="s">
        <v>49</v>
      </c>
      <c r="K16" s="8" t="s">
        <v>247</v>
      </c>
    </row>
    <row r="17" spans="2:11" x14ac:dyDescent="0.25">
      <c r="B17" s="60" t="s">
        <v>248</v>
      </c>
      <c r="C17" s="26" t="s">
        <v>249</v>
      </c>
      <c r="D17" s="26" t="s">
        <v>279</v>
      </c>
      <c r="E17" s="26" t="s">
        <v>66</v>
      </c>
      <c r="F17" s="25"/>
      <c r="G17" s="25"/>
      <c r="H17" s="25" t="s">
        <v>49</v>
      </c>
      <c r="I17" s="25" t="s">
        <v>49</v>
      </c>
      <c r="J17" s="25" t="s">
        <v>49</v>
      </c>
      <c r="K17" s="8" t="s">
        <v>250</v>
      </c>
    </row>
    <row r="18" spans="2:11" x14ac:dyDescent="0.25">
      <c r="B18" s="59" t="s">
        <v>251</v>
      </c>
      <c r="C18" s="28" t="s">
        <v>157</v>
      </c>
      <c r="D18" s="27" t="s">
        <v>280</v>
      </c>
      <c r="E18" s="27" t="s">
        <v>66</v>
      </c>
      <c r="F18" s="28"/>
      <c r="G18" s="116"/>
      <c r="H18" s="28" t="s">
        <v>49</v>
      </c>
      <c r="I18" s="28" t="s">
        <v>49</v>
      </c>
      <c r="J18" s="28" t="s">
        <v>49</v>
      </c>
      <c r="K18" s="8" t="s">
        <v>253</v>
      </c>
    </row>
    <row r="19" spans="2:11" x14ac:dyDescent="0.25">
      <c r="B19" s="99" t="s">
        <v>254</v>
      </c>
      <c r="C19" s="100" t="s">
        <v>245</v>
      </c>
      <c r="D19" s="101" t="s">
        <v>281</v>
      </c>
      <c r="E19" s="101"/>
      <c r="F19" s="100"/>
      <c r="G19" s="100"/>
      <c r="H19" s="100"/>
      <c r="I19" s="100" t="s">
        <v>49</v>
      </c>
      <c r="J19" s="100" t="s">
        <v>49</v>
      </c>
      <c r="K19" s="8" t="s">
        <v>256</v>
      </c>
    </row>
    <row r="20" spans="2:11" x14ac:dyDescent="0.25">
      <c r="B20" s="58" t="s">
        <v>75</v>
      </c>
      <c r="C20" s="45">
        <v>5000072</v>
      </c>
      <c r="D20" s="45" t="s">
        <v>282</v>
      </c>
      <c r="E20" s="45" t="s">
        <v>66</v>
      </c>
      <c r="F20" s="45"/>
      <c r="G20" s="45"/>
      <c r="H20" s="45"/>
      <c r="I20" s="45" t="s">
        <v>49</v>
      </c>
      <c r="J20" s="45" t="s">
        <v>49</v>
      </c>
      <c r="K20" s="8" t="s">
        <v>110</v>
      </c>
    </row>
    <row r="21" spans="2:11" x14ac:dyDescent="0.25">
      <c r="B21" s="55" t="s">
        <v>258</v>
      </c>
      <c r="C21" s="51" t="s">
        <v>85</v>
      </c>
      <c r="D21" s="56">
        <v>1</v>
      </c>
      <c r="E21" s="56" t="s">
        <v>218</v>
      </c>
      <c r="F21" s="51" t="s">
        <v>49</v>
      </c>
      <c r="G21" s="51" t="s">
        <v>49</v>
      </c>
      <c r="H21" s="51" t="s">
        <v>49</v>
      </c>
      <c r="I21" s="51" t="s">
        <v>49</v>
      </c>
      <c r="J21" s="51" t="s">
        <v>49</v>
      </c>
      <c r="K21" s="8"/>
    </row>
    <row r="22" spans="2:11" ht="16.5" thickBot="1" x14ac:dyDescent="0.3">
      <c r="B22" s="30" t="s">
        <v>259</v>
      </c>
      <c r="C22" s="5" t="s">
        <v>70</v>
      </c>
      <c r="D22" s="5">
        <v>1</v>
      </c>
      <c r="E22" s="5" t="s">
        <v>71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8" t="s">
        <v>108</v>
      </c>
    </row>
    <row r="24" spans="2:11" x14ac:dyDescent="0.25">
      <c r="C24"/>
      <c r="D24"/>
      <c r="E24"/>
      <c r="F24"/>
      <c r="G24"/>
      <c r="H24"/>
      <c r="I24"/>
      <c r="J24"/>
    </row>
    <row r="25" spans="2:11" x14ac:dyDescent="0.25">
      <c r="B25" s="36" t="s">
        <v>77</v>
      </c>
      <c r="C25" s="21" t="s">
        <v>78</v>
      </c>
      <c r="D25"/>
      <c r="E25"/>
      <c r="F25" s="105"/>
      <c r="G25"/>
      <c r="H25"/>
      <c r="I25"/>
      <c r="J25"/>
    </row>
    <row r="26" spans="2:11" x14ac:dyDescent="0.25">
      <c r="B26" s="36" t="s">
        <v>260</v>
      </c>
      <c r="C26" s="26" t="s">
        <v>261</v>
      </c>
      <c r="D26" s="26" t="s">
        <v>262</v>
      </c>
      <c r="E26"/>
      <c r="F26" s="105"/>
      <c r="G26"/>
      <c r="H26"/>
      <c r="I26"/>
      <c r="J26"/>
    </row>
    <row r="27" spans="2:11" x14ac:dyDescent="0.25">
      <c r="B27" s="36" t="s">
        <v>170</v>
      </c>
      <c r="C27" s="28" t="s">
        <v>261</v>
      </c>
      <c r="D27" s="28" t="s">
        <v>171</v>
      </c>
      <c r="E27"/>
      <c r="F27"/>
      <c r="G27"/>
      <c r="H27"/>
      <c r="I27"/>
      <c r="J27"/>
    </row>
    <row r="28" spans="2:11" x14ac:dyDescent="0.25">
      <c r="B28" s="36" t="s">
        <v>263</v>
      </c>
      <c r="C28" s="29" t="s">
        <v>264</v>
      </c>
      <c r="D28"/>
      <c r="E28"/>
      <c r="F28"/>
      <c r="G28"/>
      <c r="H28"/>
      <c r="I28"/>
      <c r="J28"/>
    </row>
    <row r="29" spans="2:11" x14ac:dyDescent="0.25">
      <c r="B29" s="36" t="s">
        <v>80</v>
      </c>
      <c r="C29" s="24" t="s">
        <v>74</v>
      </c>
      <c r="D29"/>
      <c r="E29"/>
      <c r="F29"/>
      <c r="G29"/>
      <c r="H29"/>
      <c r="I29"/>
      <c r="J29"/>
    </row>
    <row r="30" spans="2:11" x14ac:dyDescent="0.25">
      <c r="B30" s="36" t="s">
        <v>265</v>
      </c>
      <c r="C30" s="45">
        <v>2.0106600000000001</v>
      </c>
      <c r="D30"/>
      <c r="E30"/>
      <c r="F30"/>
      <c r="G30"/>
      <c r="H30"/>
      <c r="I30"/>
      <c r="J30"/>
    </row>
    <row r="31" spans="2:11" x14ac:dyDescent="0.25">
      <c r="B31" s="36" t="s">
        <v>84</v>
      </c>
      <c r="C31" s="46" t="s">
        <v>85</v>
      </c>
    </row>
    <row r="32" spans="2:11" x14ac:dyDescent="0.25">
      <c r="B32" s="36" t="s">
        <v>266</v>
      </c>
    </row>
  </sheetData>
  <mergeCells count="7">
    <mergeCell ref="B2:J2"/>
    <mergeCell ref="K3:K4"/>
    <mergeCell ref="B3:B4"/>
    <mergeCell ref="C3:C4"/>
    <mergeCell ref="D3:D4"/>
    <mergeCell ref="E3:E4"/>
    <mergeCell ref="F3:J3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zoomScale="85" zoomScaleNormal="85" workbookViewId="0">
      <selection activeCell="C27" sqref="C27"/>
    </sheetView>
  </sheetViews>
  <sheetFormatPr defaultColWidth="10.875" defaultRowHeight="15.75" customHeight="1" x14ac:dyDescent="0.25"/>
  <cols>
    <col min="2" max="2" width="42.625" customWidth="1"/>
    <col min="3" max="3" width="14" style="1" customWidth="1"/>
    <col min="4" max="4" width="10.5" style="1" customWidth="1"/>
    <col min="5" max="5" width="2.25" style="1" customWidth="1"/>
    <col min="6" max="6" width="11.375" style="1" customWidth="1"/>
    <col min="7" max="7" width="14.5" style="1" customWidth="1"/>
    <col min="8" max="8" width="8.5" style="1" customWidth="1"/>
    <col min="9" max="9" width="12.125" style="1" customWidth="1"/>
    <col min="10" max="10" width="13.75" style="1" customWidth="1"/>
    <col min="11" max="11" width="12.625" style="1" customWidth="1"/>
    <col min="12" max="13" width="23.125" style="1" customWidth="1"/>
    <col min="14" max="14" width="13.125" customWidth="1"/>
  </cols>
  <sheetData>
    <row r="1" spans="1:15" x14ac:dyDescent="0.25">
      <c r="A1" t="s">
        <v>283</v>
      </c>
    </row>
    <row r="2" spans="1:15" ht="30.95" customHeight="1" x14ac:dyDescent="0.5">
      <c r="B2" s="211" t="s">
        <v>284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3"/>
    </row>
    <row r="3" spans="1:15" ht="16.5" customHeight="1" x14ac:dyDescent="0.25">
      <c r="B3" s="216" t="s">
        <v>41</v>
      </c>
      <c r="C3" s="218" t="s">
        <v>42</v>
      </c>
      <c r="D3" s="220" t="s">
        <v>139</v>
      </c>
      <c r="E3" s="175"/>
      <c r="F3" s="222" t="s">
        <v>44</v>
      </c>
      <c r="G3" s="224" t="s">
        <v>179</v>
      </c>
      <c r="H3" s="225"/>
      <c r="I3" s="225"/>
      <c r="J3" s="225"/>
      <c r="K3" s="225"/>
      <c r="L3" s="226"/>
      <c r="M3" s="227"/>
      <c r="N3" s="214" t="s">
        <v>114</v>
      </c>
    </row>
    <row r="4" spans="1:15" ht="16.5" thickBot="1" x14ac:dyDescent="0.3">
      <c r="B4" s="229"/>
      <c r="C4" s="219"/>
      <c r="D4" s="230"/>
      <c r="E4" s="176"/>
      <c r="F4" s="231"/>
      <c r="G4" s="9">
        <v>100</v>
      </c>
      <c r="H4" s="9">
        <v>250</v>
      </c>
      <c r="I4" s="9">
        <v>500</v>
      </c>
      <c r="J4" s="9">
        <v>1000</v>
      </c>
      <c r="K4" s="9">
        <v>2000</v>
      </c>
      <c r="L4" s="9">
        <v>6000</v>
      </c>
      <c r="M4" s="9">
        <v>8000</v>
      </c>
      <c r="N4" s="215"/>
    </row>
    <row r="5" spans="1:15" x14ac:dyDescent="0.25">
      <c r="B5" s="77" t="s">
        <v>47</v>
      </c>
      <c r="C5" s="179" t="s">
        <v>285</v>
      </c>
      <c r="D5" s="78">
        <v>1</v>
      </c>
      <c r="E5" s="78"/>
      <c r="F5" s="78"/>
      <c r="G5" s="78"/>
      <c r="H5" s="78" t="s">
        <v>49</v>
      </c>
      <c r="I5" s="78" t="s">
        <v>49</v>
      </c>
      <c r="J5" s="78" t="s">
        <v>49</v>
      </c>
      <c r="K5" s="78" t="s">
        <v>49</v>
      </c>
      <c r="L5" s="78" t="s">
        <v>49</v>
      </c>
      <c r="M5" s="97" t="s">
        <v>49</v>
      </c>
      <c r="N5" s="90" t="s">
        <v>140</v>
      </c>
      <c r="O5" s="118" t="s">
        <v>141</v>
      </c>
    </row>
    <row r="6" spans="1:15" x14ac:dyDescent="0.25">
      <c r="B6" s="60" t="s">
        <v>142</v>
      </c>
      <c r="C6" s="25" t="s">
        <v>180</v>
      </c>
      <c r="D6" s="25">
        <v>1</v>
      </c>
      <c r="E6" s="25"/>
      <c r="F6" s="25"/>
      <c r="G6" s="25"/>
      <c r="H6" s="25" t="s">
        <v>49</v>
      </c>
      <c r="I6" s="25" t="s">
        <v>49</v>
      </c>
      <c r="J6" s="25" t="s">
        <v>49</v>
      </c>
      <c r="K6" s="25" t="s">
        <v>49</v>
      </c>
      <c r="L6" s="25" t="s">
        <v>49</v>
      </c>
      <c r="M6" s="69" t="s">
        <v>49</v>
      </c>
      <c r="N6" s="26" t="s">
        <v>181</v>
      </c>
    </row>
    <row r="7" spans="1:15" x14ac:dyDescent="0.25">
      <c r="B7" s="60" t="s">
        <v>286</v>
      </c>
      <c r="C7" s="25" t="s">
        <v>91</v>
      </c>
      <c r="D7" s="25">
        <v>1</v>
      </c>
      <c r="E7" s="25"/>
      <c r="F7" s="25"/>
      <c r="G7" s="25"/>
      <c r="H7" s="25" t="s">
        <v>49</v>
      </c>
      <c r="I7" s="25" t="s">
        <v>49</v>
      </c>
      <c r="J7" s="25" t="s">
        <v>49</v>
      </c>
      <c r="K7" s="25" t="s">
        <v>49</v>
      </c>
      <c r="L7" s="25" t="s">
        <v>49</v>
      </c>
      <c r="M7" s="69" t="s">
        <v>49</v>
      </c>
      <c r="N7" s="25" t="s">
        <v>92</v>
      </c>
      <c r="O7" s="118" t="s">
        <v>287</v>
      </c>
    </row>
    <row r="8" spans="1:15" x14ac:dyDescent="0.25">
      <c r="B8" s="60" t="s">
        <v>229</v>
      </c>
      <c r="C8" s="25" t="s">
        <v>288</v>
      </c>
      <c r="D8" s="25">
        <v>1</v>
      </c>
      <c r="E8" s="25"/>
      <c r="F8" s="25"/>
      <c r="G8" s="25"/>
      <c r="H8" s="25"/>
      <c r="I8" s="25" t="s">
        <v>49</v>
      </c>
      <c r="J8" s="25" t="s">
        <v>49</v>
      </c>
      <c r="K8" s="25" t="s">
        <v>49</v>
      </c>
      <c r="L8" s="25" t="s">
        <v>49</v>
      </c>
      <c r="M8" s="69" t="s">
        <v>49</v>
      </c>
      <c r="N8" s="114"/>
    </row>
    <row r="9" spans="1:15" x14ac:dyDescent="0.25">
      <c r="B9" s="60" t="s">
        <v>231</v>
      </c>
      <c r="C9" s="25" t="s">
        <v>95</v>
      </c>
      <c r="D9" s="25">
        <v>1</v>
      </c>
      <c r="E9" s="25"/>
      <c r="F9" s="25"/>
      <c r="G9" s="25"/>
      <c r="H9" s="25"/>
      <c r="I9" s="25"/>
      <c r="J9" s="25" t="s">
        <v>49</v>
      </c>
      <c r="K9" s="25" t="s">
        <v>49</v>
      </c>
      <c r="L9" s="25" t="s">
        <v>49</v>
      </c>
      <c r="M9" s="69" t="s">
        <v>49</v>
      </c>
      <c r="N9" s="114"/>
    </row>
    <row r="10" spans="1:15" x14ac:dyDescent="0.25">
      <c r="B10" s="60" t="s">
        <v>233</v>
      </c>
      <c r="C10" s="25" t="s">
        <v>289</v>
      </c>
      <c r="D10" s="25">
        <v>1</v>
      </c>
      <c r="E10" s="25"/>
      <c r="F10" s="25"/>
      <c r="G10" s="25"/>
      <c r="H10" s="25"/>
      <c r="I10" s="25"/>
      <c r="J10" s="25"/>
      <c r="K10" s="25" t="s">
        <v>49</v>
      </c>
      <c r="L10" s="25" t="s">
        <v>49</v>
      </c>
      <c r="M10" s="69" t="s">
        <v>49</v>
      </c>
      <c r="N10" s="114"/>
    </row>
    <row r="11" spans="1:15" x14ac:dyDescent="0.25">
      <c r="B11" s="60" t="s">
        <v>236</v>
      </c>
      <c r="C11" s="25" t="s">
        <v>237</v>
      </c>
      <c r="D11" s="25">
        <v>1</v>
      </c>
      <c r="E11" s="25"/>
      <c r="F11" s="25"/>
      <c r="G11" s="25"/>
      <c r="H11" s="25"/>
      <c r="I11" s="25"/>
      <c r="J11" s="25"/>
      <c r="K11" s="25" t="s">
        <v>49</v>
      </c>
      <c r="L11" s="25" t="s">
        <v>49</v>
      </c>
      <c r="M11" s="69" t="s">
        <v>49</v>
      </c>
      <c r="N11" s="114"/>
    </row>
    <row r="12" spans="1:15" x14ac:dyDescent="0.25">
      <c r="B12" s="60" t="s">
        <v>238</v>
      </c>
      <c r="C12" s="25" t="s">
        <v>239</v>
      </c>
      <c r="D12" s="25">
        <v>1</v>
      </c>
      <c r="E12" s="25"/>
      <c r="F12" s="25"/>
      <c r="G12" s="104" t="s">
        <v>49</v>
      </c>
      <c r="H12" s="25"/>
      <c r="I12" s="25" t="s">
        <v>49</v>
      </c>
      <c r="J12" s="25" t="s">
        <v>49</v>
      </c>
      <c r="K12" s="25" t="s">
        <v>49</v>
      </c>
      <c r="L12" s="25" t="s">
        <v>49</v>
      </c>
      <c r="M12" s="69" t="s">
        <v>49</v>
      </c>
      <c r="N12" s="114"/>
    </row>
    <row r="13" spans="1:15" x14ac:dyDescent="0.25">
      <c r="B13" s="60" t="s">
        <v>240</v>
      </c>
      <c r="C13" s="107" t="s">
        <v>290</v>
      </c>
      <c r="D13" s="25">
        <v>1</v>
      </c>
      <c r="E13" s="25"/>
      <c r="F13" s="25"/>
      <c r="G13" s="104" t="s">
        <v>49</v>
      </c>
      <c r="H13" s="25"/>
      <c r="I13" s="25" t="s">
        <v>49</v>
      </c>
      <c r="J13" s="25" t="s">
        <v>49</v>
      </c>
      <c r="K13" s="25" t="s">
        <v>49</v>
      </c>
      <c r="L13" s="25" t="s">
        <v>49</v>
      </c>
      <c r="M13" s="69" t="s">
        <v>49</v>
      </c>
      <c r="N13" s="25" t="s">
        <v>291</v>
      </c>
    </row>
    <row r="14" spans="1:15" x14ac:dyDescent="0.25">
      <c r="B14" s="109" t="s">
        <v>292</v>
      </c>
      <c r="C14" s="25" t="s">
        <v>293</v>
      </c>
      <c r="D14" s="25">
        <v>1</v>
      </c>
      <c r="E14" s="25"/>
      <c r="F14" s="25"/>
      <c r="G14" s="25"/>
      <c r="H14" s="25"/>
      <c r="I14" s="25" t="s">
        <v>49</v>
      </c>
      <c r="J14" s="25" t="s">
        <v>49</v>
      </c>
      <c r="K14" s="25" t="s">
        <v>49</v>
      </c>
      <c r="L14" s="25" t="s">
        <v>49</v>
      </c>
      <c r="M14" s="69" t="s">
        <v>49</v>
      </c>
      <c r="N14" s="114"/>
    </row>
    <row r="15" spans="1:15" x14ac:dyDescent="0.25">
      <c r="B15" s="109" t="s">
        <v>294</v>
      </c>
      <c r="C15" s="25" t="s">
        <v>295</v>
      </c>
      <c r="D15" s="25">
        <v>1</v>
      </c>
      <c r="E15" s="25"/>
      <c r="F15" s="25"/>
      <c r="G15" s="25"/>
      <c r="H15" s="25"/>
      <c r="I15" s="25" t="s">
        <v>49</v>
      </c>
      <c r="J15" s="25" t="s">
        <v>49</v>
      </c>
      <c r="K15" s="25" t="s">
        <v>49</v>
      </c>
      <c r="L15" s="25" t="s">
        <v>49</v>
      </c>
      <c r="M15" s="69" t="s">
        <v>49</v>
      </c>
      <c r="N15" s="25" t="s">
        <v>296</v>
      </c>
    </row>
    <row r="16" spans="1:15" x14ac:dyDescent="0.25">
      <c r="B16" s="10" t="s">
        <v>152</v>
      </c>
      <c r="C16" s="14" t="s">
        <v>297</v>
      </c>
      <c r="D16" s="14">
        <v>1</v>
      </c>
      <c r="E16" s="14"/>
      <c r="F16" s="14"/>
      <c r="G16" s="14"/>
      <c r="H16" s="14"/>
      <c r="I16" s="14"/>
      <c r="J16" s="14"/>
      <c r="K16" s="14"/>
      <c r="L16" s="14" t="s">
        <v>49</v>
      </c>
      <c r="M16" s="11"/>
      <c r="N16" s="114"/>
    </row>
    <row r="17" spans="2:15" x14ac:dyDescent="0.25">
      <c r="B17" s="10" t="s">
        <v>186</v>
      </c>
      <c r="C17" s="14" t="s">
        <v>298</v>
      </c>
      <c r="D17" s="14">
        <v>2</v>
      </c>
      <c r="E17" s="14"/>
      <c r="F17" s="14"/>
      <c r="G17" s="14"/>
      <c r="H17" s="14"/>
      <c r="I17" s="14"/>
      <c r="J17" s="14"/>
      <c r="K17" s="14" t="s">
        <v>49</v>
      </c>
      <c r="L17" s="14" t="s">
        <v>49</v>
      </c>
      <c r="M17" s="11" t="s">
        <v>49</v>
      </c>
      <c r="N17" s="114"/>
    </row>
    <row r="18" spans="2:15" x14ac:dyDescent="0.25">
      <c r="B18" s="10" t="s">
        <v>299</v>
      </c>
      <c r="C18" s="14" t="s">
        <v>300</v>
      </c>
      <c r="D18" s="14">
        <v>1</v>
      </c>
      <c r="E18" s="14"/>
      <c r="F18" s="14"/>
      <c r="G18" s="14"/>
      <c r="H18" s="14"/>
      <c r="I18" s="14"/>
      <c r="J18" s="14"/>
      <c r="K18" s="14" t="s">
        <v>49</v>
      </c>
      <c r="L18" s="14" t="s">
        <v>49</v>
      </c>
      <c r="M18" s="11" t="s">
        <v>49</v>
      </c>
      <c r="N18" s="114"/>
      <c r="O18" s="169" t="s">
        <v>301</v>
      </c>
    </row>
    <row r="19" spans="2:15" ht="31.5" x14ac:dyDescent="0.25">
      <c r="B19" s="192" t="s">
        <v>302</v>
      </c>
      <c r="C19" s="14" t="s">
        <v>187</v>
      </c>
      <c r="D19" s="14">
        <v>2</v>
      </c>
      <c r="E19" s="14"/>
      <c r="F19" s="14"/>
      <c r="G19" s="14"/>
      <c r="H19" s="14"/>
      <c r="I19" s="14"/>
      <c r="J19" s="14"/>
      <c r="K19" s="14" t="s">
        <v>49</v>
      </c>
      <c r="L19" s="14" t="s">
        <v>49</v>
      </c>
      <c r="M19" s="11" t="s">
        <v>49</v>
      </c>
      <c r="N19" s="114"/>
    </row>
    <row r="20" spans="2:15" x14ac:dyDescent="0.25">
      <c r="B20" s="10" t="s">
        <v>303</v>
      </c>
      <c r="C20" s="14" t="s">
        <v>304</v>
      </c>
      <c r="D20" s="14">
        <v>1</v>
      </c>
      <c r="E20" s="14"/>
      <c r="F20" s="14"/>
      <c r="G20" s="14"/>
      <c r="H20" s="14"/>
      <c r="I20" s="14"/>
      <c r="J20" s="14"/>
      <c r="K20" s="14" t="s">
        <v>49</v>
      </c>
      <c r="L20" s="14" t="s">
        <v>49</v>
      </c>
      <c r="M20" s="11" t="s">
        <v>49</v>
      </c>
      <c r="N20" s="114"/>
    </row>
    <row r="21" spans="2:15" x14ac:dyDescent="0.25">
      <c r="B21" s="10" t="s">
        <v>188</v>
      </c>
      <c r="C21" s="123" t="s">
        <v>305</v>
      </c>
      <c r="D21" s="14">
        <v>4</v>
      </c>
      <c r="E21" s="14"/>
      <c r="F21" s="14"/>
      <c r="G21" s="14"/>
      <c r="H21" s="14"/>
      <c r="I21" s="14"/>
      <c r="J21" s="14"/>
      <c r="K21" s="14"/>
      <c r="L21" s="14" t="s">
        <v>49</v>
      </c>
      <c r="M21" s="11"/>
      <c r="N21" s="114"/>
    </row>
    <row r="22" spans="2:15" x14ac:dyDescent="0.25">
      <c r="B22" s="240" t="s">
        <v>194</v>
      </c>
      <c r="C22" s="14" t="s">
        <v>195</v>
      </c>
      <c r="D22" s="14">
        <v>1</v>
      </c>
      <c r="E22" s="14"/>
      <c r="F22" s="14"/>
      <c r="G22" s="14"/>
      <c r="H22" s="14"/>
      <c r="I22" s="14"/>
      <c r="J22" s="14"/>
      <c r="K22" s="14"/>
      <c r="L22" s="14" t="s">
        <v>49</v>
      </c>
      <c r="M22" s="11"/>
      <c r="N22" s="114"/>
    </row>
    <row r="23" spans="2:15" x14ac:dyDescent="0.25">
      <c r="B23" s="240"/>
      <c r="C23" s="14" t="s">
        <v>196</v>
      </c>
      <c r="D23" s="14">
        <v>1</v>
      </c>
      <c r="E23" s="14"/>
      <c r="F23" s="14"/>
      <c r="G23" s="14"/>
      <c r="H23" s="14"/>
      <c r="I23" s="14"/>
      <c r="J23" s="14"/>
      <c r="K23" s="14"/>
      <c r="L23" s="14" t="s">
        <v>49</v>
      </c>
      <c r="M23" s="11"/>
      <c r="N23" s="114"/>
    </row>
    <row r="24" spans="2:15" x14ac:dyDescent="0.25">
      <c r="B24" s="57" t="s">
        <v>67</v>
      </c>
      <c r="C24" s="21" t="s">
        <v>68</v>
      </c>
      <c r="D24" s="21" t="s">
        <v>243</v>
      </c>
      <c r="E24" s="21"/>
      <c r="F24" s="21" t="s">
        <v>66</v>
      </c>
      <c r="G24" s="21"/>
      <c r="H24" s="21"/>
      <c r="I24" s="21"/>
      <c r="J24" s="21"/>
      <c r="K24" s="21" t="s">
        <v>49</v>
      </c>
      <c r="L24" s="21" t="s">
        <v>49</v>
      </c>
      <c r="M24" s="39" t="s">
        <v>49</v>
      </c>
      <c r="N24" s="8">
        <v>46</v>
      </c>
    </row>
    <row r="25" spans="2:15" ht="21" x14ac:dyDescent="0.35">
      <c r="B25" s="33" t="s">
        <v>64</v>
      </c>
      <c r="C25" s="24">
        <v>3532838</v>
      </c>
      <c r="D25" s="24" t="s">
        <v>155</v>
      </c>
      <c r="E25" s="24"/>
      <c r="F25" s="24" t="s">
        <v>66</v>
      </c>
      <c r="G25" s="24"/>
      <c r="H25" s="24" t="s">
        <v>49</v>
      </c>
      <c r="I25" s="24" t="s">
        <v>49</v>
      </c>
      <c r="J25" s="24" t="s">
        <v>49</v>
      </c>
      <c r="K25" s="24" t="s">
        <v>49</v>
      </c>
      <c r="L25" s="24" t="s">
        <v>49</v>
      </c>
      <c r="M25" s="32" t="s">
        <v>49</v>
      </c>
      <c r="N25" s="8" t="s">
        <v>135</v>
      </c>
      <c r="O25" s="112"/>
    </row>
    <row r="26" spans="2:15" x14ac:dyDescent="0.25">
      <c r="B26" s="62" t="s">
        <v>244</v>
      </c>
      <c r="C26" s="63" t="s">
        <v>245</v>
      </c>
      <c r="D26" s="63" t="s">
        <v>246</v>
      </c>
      <c r="E26" s="63"/>
      <c r="F26" s="63" t="s">
        <v>66</v>
      </c>
      <c r="G26" s="63"/>
      <c r="H26" s="63"/>
      <c r="I26" s="63"/>
      <c r="J26" s="63" t="s">
        <v>49</v>
      </c>
      <c r="K26" s="63" t="s">
        <v>49</v>
      </c>
      <c r="L26" s="63" t="s">
        <v>49</v>
      </c>
      <c r="M26" s="64" t="s">
        <v>49</v>
      </c>
      <c r="N26" s="8" t="s">
        <v>247</v>
      </c>
    </row>
    <row r="27" spans="2:15" x14ac:dyDescent="0.25">
      <c r="B27" s="60" t="s">
        <v>248</v>
      </c>
      <c r="C27" s="26" t="s">
        <v>249</v>
      </c>
      <c r="D27" s="26" t="s">
        <v>282</v>
      </c>
      <c r="E27" s="26"/>
      <c r="F27" s="26" t="s">
        <v>66</v>
      </c>
      <c r="G27" s="25"/>
      <c r="H27" s="25"/>
      <c r="I27" s="25"/>
      <c r="J27" s="25" t="s">
        <v>49</v>
      </c>
      <c r="K27" s="25" t="s">
        <v>49</v>
      </c>
      <c r="L27" s="25" t="s">
        <v>49</v>
      </c>
      <c r="M27" s="47" t="s">
        <v>49</v>
      </c>
      <c r="N27" s="8" t="s">
        <v>250</v>
      </c>
    </row>
    <row r="28" spans="2:15" x14ac:dyDescent="0.25">
      <c r="B28" s="59" t="s">
        <v>251</v>
      </c>
      <c r="C28" s="28" t="s">
        <v>157</v>
      </c>
      <c r="D28" s="27" t="s">
        <v>306</v>
      </c>
      <c r="E28" s="27"/>
      <c r="F28" s="27" t="s">
        <v>66</v>
      </c>
      <c r="G28" s="28"/>
      <c r="H28" s="28"/>
      <c r="I28" s="137" t="s">
        <v>49</v>
      </c>
      <c r="J28" s="28" t="s">
        <v>49</v>
      </c>
      <c r="K28" s="28" t="s">
        <v>49</v>
      </c>
      <c r="L28" s="28" t="s">
        <v>49</v>
      </c>
      <c r="M28" s="49" t="s">
        <v>49</v>
      </c>
      <c r="N28" s="8" t="s">
        <v>253</v>
      </c>
    </row>
    <row r="29" spans="2:15" x14ac:dyDescent="0.25">
      <c r="B29" s="99" t="s">
        <v>254</v>
      </c>
      <c r="C29" s="100" t="s">
        <v>245</v>
      </c>
      <c r="D29" s="101" t="s">
        <v>281</v>
      </c>
      <c r="E29" s="101"/>
      <c r="F29" s="101"/>
      <c r="G29" s="100"/>
      <c r="H29" s="100"/>
      <c r="I29" s="100"/>
      <c r="J29" s="100"/>
      <c r="K29" s="100" t="s">
        <v>49</v>
      </c>
      <c r="L29" s="100" t="s">
        <v>49</v>
      </c>
      <c r="M29" s="102" t="s">
        <v>49</v>
      </c>
      <c r="N29" s="8" t="s">
        <v>256</v>
      </c>
    </row>
    <row r="30" spans="2:15" x14ac:dyDescent="0.25">
      <c r="B30" s="58" t="s">
        <v>75</v>
      </c>
      <c r="C30" s="45">
        <v>5000072</v>
      </c>
      <c r="D30" s="45" t="s">
        <v>307</v>
      </c>
      <c r="E30" s="45"/>
      <c r="F30" s="45" t="s">
        <v>66</v>
      </c>
      <c r="G30" s="45"/>
      <c r="H30" s="45"/>
      <c r="I30" s="45"/>
      <c r="J30" s="45"/>
      <c r="K30" s="45" t="s">
        <v>49</v>
      </c>
      <c r="L30" s="45" t="s">
        <v>49</v>
      </c>
      <c r="M30" s="54" t="s">
        <v>49</v>
      </c>
      <c r="N30" s="8" t="s">
        <v>110</v>
      </c>
    </row>
    <row r="31" spans="2:15" x14ac:dyDescent="0.25">
      <c r="B31" s="55" t="s">
        <v>258</v>
      </c>
      <c r="C31" s="51" t="s">
        <v>85</v>
      </c>
      <c r="D31" s="56">
        <v>1</v>
      </c>
      <c r="E31" s="56"/>
      <c r="F31" s="56" t="s">
        <v>218</v>
      </c>
      <c r="G31" s="51" t="s">
        <v>49</v>
      </c>
      <c r="H31" s="51" t="s">
        <v>49</v>
      </c>
      <c r="I31" s="51" t="s">
        <v>49</v>
      </c>
      <c r="J31" s="51" t="s">
        <v>49</v>
      </c>
      <c r="K31" s="51" t="s">
        <v>49</v>
      </c>
      <c r="L31" s="51" t="s">
        <v>49</v>
      </c>
      <c r="M31" s="52" t="s">
        <v>49</v>
      </c>
      <c r="N31" s="8"/>
    </row>
    <row r="32" spans="2:15" x14ac:dyDescent="0.25">
      <c r="B32" s="30" t="s">
        <v>259</v>
      </c>
      <c r="C32" s="5" t="s">
        <v>70</v>
      </c>
      <c r="D32" s="5">
        <v>1</v>
      </c>
      <c r="E32" s="5"/>
      <c r="F32" s="5" t="s">
        <v>71</v>
      </c>
      <c r="G32" s="5" t="s">
        <v>49</v>
      </c>
      <c r="H32" s="5" t="s">
        <v>49</v>
      </c>
      <c r="I32" s="5" t="s">
        <v>49</v>
      </c>
      <c r="J32" s="5" t="s">
        <v>49</v>
      </c>
      <c r="K32" s="5" t="s">
        <v>49</v>
      </c>
      <c r="L32" s="5" t="s">
        <v>49</v>
      </c>
      <c r="M32" s="6" t="s">
        <v>49</v>
      </c>
      <c r="N32" s="8" t="s">
        <v>108</v>
      </c>
    </row>
    <row r="33" spans="2:13" x14ac:dyDescent="0.25">
      <c r="F33" s="1" t="s">
        <v>308</v>
      </c>
      <c r="G33" s="1">
        <v>1.75</v>
      </c>
      <c r="I33" s="1">
        <f>0.25</f>
        <v>0.25</v>
      </c>
    </row>
    <row r="34" spans="2:13" x14ac:dyDescent="0.25">
      <c r="C34"/>
      <c r="D34"/>
      <c r="E34"/>
      <c r="F34"/>
      <c r="G34" t="s">
        <v>203</v>
      </c>
      <c r="H34"/>
      <c r="I34"/>
      <c r="J34"/>
      <c r="K34"/>
      <c r="L34"/>
      <c r="M34"/>
    </row>
    <row r="35" spans="2:13" x14ac:dyDescent="0.25">
      <c r="B35" s="36" t="s">
        <v>77</v>
      </c>
      <c r="C35" s="21" t="s">
        <v>78</v>
      </c>
      <c r="D35"/>
      <c r="E35"/>
      <c r="F35"/>
      <c r="G35" s="122" t="s">
        <v>204</v>
      </c>
      <c r="H35" s="105" t="s">
        <v>309</v>
      </c>
      <c r="I35"/>
      <c r="J35"/>
      <c r="K35"/>
      <c r="L35"/>
      <c r="M35"/>
    </row>
    <row r="36" spans="2:13" x14ac:dyDescent="0.25">
      <c r="B36" s="36" t="s">
        <v>260</v>
      </c>
      <c r="C36" s="26" t="s">
        <v>262</v>
      </c>
      <c r="D36" s="144"/>
      <c r="E36" s="177"/>
      <c r="F36"/>
      <c r="G36" s="134" t="s">
        <v>204</v>
      </c>
      <c r="H36" s="135" t="s">
        <v>206</v>
      </c>
      <c r="I36"/>
      <c r="J36"/>
      <c r="K36"/>
      <c r="L36"/>
      <c r="M36"/>
    </row>
    <row r="37" spans="2:13" x14ac:dyDescent="0.25">
      <c r="B37" s="36" t="s">
        <v>170</v>
      </c>
      <c r="C37" s="28" t="s">
        <v>261</v>
      </c>
      <c r="D37" s="28" t="s">
        <v>171</v>
      </c>
      <c r="E37" s="178"/>
      <c r="F37"/>
      <c r="G37"/>
      <c r="H37"/>
      <c r="I37"/>
      <c r="J37"/>
      <c r="K37"/>
      <c r="L37"/>
      <c r="M37"/>
    </row>
    <row r="38" spans="2:13" x14ac:dyDescent="0.25">
      <c r="B38" s="36" t="s">
        <v>263</v>
      </c>
      <c r="C38" s="29" t="s">
        <v>264</v>
      </c>
      <c r="D38"/>
      <c r="E38"/>
      <c r="F38"/>
      <c r="G38"/>
      <c r="H38"/>
      <c r="I38"/>
      <c r="J38"/>
      <c r="K38"/>
      <c r="L38"/>
      <c r="M38"/>
    </row>
    <row r="39" spans="2:13" x14ac:dyDescent="0.25">
      <c r="B39" s="36" t="s">
        <v>80</v>
      </c>
      <c r="C39" s="24" t="s">
        <v>74</v>
      </c>
      <c r="D39"/>
      <c r="E39"/>
      <c r="F39"/>
      <c r="G39"/>
      <c r="H39"/>
      <c r="I39"/>
      <c r="J39"/>
      <c r="K39"/>
      <c r="L39"/>
      <c r="M39"/>
    </row>
    <row r="40" spans="2:13" x14ac:dyDescent="0.25">
      <c r="B40" s="36" t="s">
        <v>265</v>
      </c>
      <c r="C40" s="45">
        <v>5000072</v>
      </c>
      <c r="D40"/>
      <c r="E40"/>
      <c r="F40"/>
      <c r="G40"/>
      <c r="H40"/>
      <c r="I40"/>
      <c r="J40"/>
      <c r="K40"/>
      <c r="L40"/>
      <c r="M40"/>
    </row>
    <row r="41" spans="2:13" x14ac:dyDescent="0.25">
      <c r="B41" s="36" t="s">
        <v>84</v>
      </c>
      <c r="C41" s="51" t="s">
        <v>85</v>
      </c>
    </row>
    <row r="42" spans="2:13" x14ac:dyDescent="0.25">
      <c r="B42" s="36" t="s">
        <v>266</v>
      </c>
      <c r="C42" s="1" t="s">
        <v>310</v>
      </c>
    </row>
  </sheetData>
  <mergeCells count="8">
    <mergeCell ref="B2:M2"/>
    <mergeCell ref="B22:B23"/>
    <mergeCell ref="F3:F4"/>
    <mergeCell ref="N3:N4"/>
    <mergeCell ref="B3:B4"/>
    <mergeCell ref="C3:C4"/>
    <mergeCell ref="D3:D4"/>
    <mergeCell ref="G3:M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41"/>
  <sheetViews>
    <sheetView zoomScaleNormal="100" zoomScalePageLayoutView="110" workbookViewId="0">
      <selection activeCell="N16" sqref="N16"/>
    </sheetView>
  </sheetViews>
  <sheetFormatPr defaultColWidth="10.875" defaultRowHeight="15.75" x14ac:dyDescent="0.25"/>
  <cols>
    <col min="2" max="2" width="52.25" bestFit="1" customWidth="1"/>
    <col min="3" max="3" width="12.375" style="1" customWidth="1"/>
    <col min="4" max="5" width="12.875" style="1" customWidth="1"/>
    <col min="6" max="9" width="6.125" style="1" customWidth="1"/>
    <col min="10" max="10" width="6.125" style="1" bestFit="1" customWidth="1"/>
    <col min="11" max="11" width="6.125" style="1" customWidth="1"/>
    <col min="12" max="12" width="12.5" customWidth="1"/>
  </cols>
  <sheetData>
    <row r="1" spans="2:13" ht="16.5" thickBot="1" x14ac:dyDescent="0.3"/>
    <row r="2" spans="2:13" ht="32.25" thickBot="1" x14ac:dyDescent="0.55000000000000004">
      <c r="B2" s="211" t="s">
        <v>311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3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5"/>
      <c r="K3" s="227"/>
      <c r="L3" s="214" t="s">
        <v>114</v>
      </c>
    </row>
    <row r="4" spans="2:13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6000</v>
      </c>
      <c r="L4" s="215"/>
    </row>
    <row r="5" spans="2:13" x14ac:dyDescent="0.25">
      <c r="B5" s="77" t="s">
        <v>47</v>
      </c>
      <c r="C5" s="107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78" t="s">
        <v>49</v>
      </c>
      <c r="K5" s="7" t="s">
        <v>49</v>
      </c>
      <c r="L5" s="107" t="s">
        <v>140</v>
      </c>
      <c r="M5" s="117"/>
    </row>
    <row r="6" spans="2:13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11" t="s">
        <v>49</v>
      </c>
      <c r="L6" s="25" t="s">
        <v>89</v>
      </c>
    </row>
    <row r="7" spans="2:13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" t="s">
        <v>49</v>
      </c>
      <c r="L7" s="26" t="s">
        <v>92</v>
      </c>
      <c r="M7" s="118" t="s">
        <v>287</v>
      </c>
    </row>
    <row r="8" spans="2:13" x14ac:dyDescent="0.25">
      <c r="B8" s="60" t="s">
        <v>52</v>
      </c>
      <c r="C8" s="25" t="s">
        <v>288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11" t="s">
        <v>49</v>
      </c>
      <c r="L8" s="114"/>
    </row>
    <row r="9" spans="2:13" x14ac:dyDescent="0.25">
      <c r="B9" s="60" t="s">
        <v>54</v>
      </c>
      <c r="C9" s="25" t="s">
        <v>95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11" t="s">
        <v>49</v>
      </c>
      <c r="L9" s="114"/>
    </row>
    <row r="10" spans="2:13" x14ac:dyDescent="0.25">
      <c r="B10" s="60" t="s">
        <v>233</v>
      </c>
      <c r="C10" s="25" t="s">
        <v>234</v>
      </c>
      <c r="D10" s="25">
        <v>1</v>
      </c>
      <c r="E10" s="25"/>
      <c r="F10" s="25"/>
      <c r="G10" s="25"/>
      <c r="H10" s="25"/>
      <c r="I10" s="25"/>
      <c r="J10" s="25" t="s">
        <v>49</v>
      </c>
      <c r="K10" s="11" t="s">
        <v>49</v>
      </c>
      <c r="L10" s="114"/>
    </row>
    <row r="11" spans="2:13" x14ac:dyDescent="0.25">
      <c r="B11" s="60" t="s">
        <v>236</v>
      </c>
      <c r="C11" s="25" t="s">
        <v>237</v>
      </c>
      <c r="D11" s="25">
        <v>1</v>
      </c>
      <c r="E11" s="25"/>
      <c r="F11" s="104"/>
      <c r="G11" s="25"/>
      <c r="H11" s="25"/>
      <c r="I11" s="25"/>
      <c r="J11" s="25" t="s">
        <v>49</v>
      </c>
      <c r="K11" s="11" t="s">
        <v>49</v>
      </c>
      <c r="L11" s="114"/>
    </row>
    <row r="12" spans="2:13" x14ac:dyDescent="0.25">
      <c r="B12" s="60" t="s">
        <v>238</v>
      </c>
      <c r="C12" s="25" t="s">
        <v>239</v>
      </c>
      <c r="D12" s="25">
        <v>1</v>
      </c>
      <c r="E12" s="25"/>
      <c r="F12" s="104" t="s">
        <v>49</v>
      </c>
      <c r="G12" s="25"/>
      <c r="H12" s="25" t="s">
        <v>49</v>
      </c>
      <c r="I12" s="25" t="s">
        <v>49</v>
      </c>
      <c r="J12" s="25" t="s">
        <v>49</v>
      </c>
      <c r="K12" s="11" t="s">
        <v>49</v>
      </c>
      <c r="L12" s="114"/>
    </row>
    <row r="13" spans="2:13" x14ac:dyDescent="0.25">
      <c r="B13" s="60" t="s">
        <v>240</v>
      </c>
      <c r="C13" s="25" t="s">
        <v>291</v>
      </c>
      <c r="D13" s="25">
        <v>1</v>
      </c>
      <c r="E13" s="25"/>
      <c r="F13" s="104" t="s">
        <v>49</v>
      </c>
      <c r="G13" s="25"/>
      <c r="H13" s="25" t="s">
        <v>49</v>
      </c>
      <c r="I13" s="25" t="s">
        <v>49</v>
      </c>
      <c r="J13" s="25" t="s">
        <v>49</v>
      </c>
      <c r="K13" s="11" t="s">
        <v>49</v>
      </c>
      <c r="L13" s="114"/>
    </row>
    <row r="14" spans="2:13" x14ac:dyDescent="0.25">
      <c r="B14" s="86" t="s">
        <v>312</v>
      </c>
      <c r="C14" s="25" t="s">
        <v>313</v>
      </c>
      <c r="D14" s="25">
        <v>1</v>
      </c>
      <c r="E14" s="25"/>
      <c r="F14" s="104"/>
      <c r="G14" s="25"/>
      <c r="H14" s="25"/>
      <c r="I14" s="25"/>
      <c r="J14" s="25" t="s">
        <v>49</v>
      </c>
      <c r="K14" s="11" t="s">
        <v>49</v>
      </c>
      <c r="L14" s="114"/>
    </row>
    <row r="15" spans="2:13" x14ac:dyDescent="0.25">
      <c r="B15" s="109" t="s">
        <v>314</v>
      </c>
      <c r="C15" s="25" t="s">
        <v>315</v>
      </c>
      <c r="D15" s="25">
        <v>1</v>
      </c>
      <c r="E15" s="25"/>
      <c r="F15" s="25"/>
      <c r="G15" s="25"/>
      <c r="H15" s="25"/>
      <c r="I15" s="25"/>
      <c r="J15" s="25" t="s">
        <v>49</v>
      </c>
      <c r="K15" s="11" t="s">
        <v>49</v>
      </c>
      <c r="L15" s="114"/>
    </row>
    <row r="16" spans="2:13" x14ac:dyDescent="0.25">
      <c r="B16" s="109" t="s">
        <v>292</v>
      </c>
      <c r="C16" s="25" t="s">
        <v>293</v>
      </c>
      <c r="D16" s="25">
        <v>1</v>
      </c>
      <c r="E16" s="25"/>
      <c r="F16" s="25"/>
      <c r="G16" s="25"/>
      <c r="H16" s="25" t="s">
        <v>49</v>
      </c>
      <c r="I16" s="25" t="s">
        <v>49</v>
      </c>
      <c r="J16" s="25" t="s">
        <v>49</v>
      </c>
      <c r="K16" s="11" t="s">
        <v>49</v>
      </c>
      <c r="L16" s="114"/>
    </row>
    <row r="17" spans="2:12" x14ac:dyDescent="0.25">
      <c r="B17" s="109" t="s">
        <v>294</v>
      </c>
      <c r="C17" s="25" t="s">
        <v>295</v>
      </c>
      <c r="D17" s="25">
        <v>2</v>
      </c>
      <c r="E17" s="25"/>
      <c r="F17" s="25"/>
      <c r="G17" s="25"/>
      <c r="H17" s="25" t="s">
        <v>49</v>
      </c>
      <c r="I17" s="25" t="s">
        <v>49</v>
      </c>
      <c r="J17" s="25" t="s">
        <v>49</v>
      </c>
      <c r="K17" s="11" t="s">
        <v>49</v>
      </c>
      <c r="L17" s="114"/>
    </row>
    <row r="18" spans="2:12" x14ac:dyDescent="0.25">
      <c r="B18" s="10" t="s">
        <v>152</v>
      </c>
      <c r="C18" s="14" t="s">
        <v>153</v>
      </c>
      <c r="D18" s="14">
        <v>1</v>
      </c>
      <c r="E18" s="14"/>
      <c r="F18" s="120"/>
      <c r="G18" s="14"/>
      <c r="H18" s="14"/>
      <c r="I18" s="14"/>
      <c r="J18" s="14"/>
      <c r="K18" s="11" t="s">
        <v>49</v>
      </c>
      <c r="L18" s="114"/>
    </row>
    <row r="19" spans="2:12" x14ac:dyDescent="0.25">
      <c r="B19" s="10" t="s">
        <v>186</v>
      </c>
      <c r="C19" s="14" t="s">
        <v>298</v>
      </c>
      <c r="D19" s="14">
        <v>2</v>
      </c>
      <c r="E19" s="14"/>
      <c r="F19" s="120"/>
      <c r="G19" s="14"/>
      <c r="H19" s="14"/>
      <c r="I19" s="14"/>
      <c r="J19" s="14" t="s">
        <v>49</v>
      </c>
      <c r="K19" s="11" t="s">
        <v>49</v>
      </c>
      <c r="L19" s="114"/>
    </row>
    <row r="20" spans="2:12" x14ac:dyDescent="0.25">
      <c r="B20" s="10" t="s">
        <v>299</v>
      </c>
      <c r="C20" s="14" t="s">
        <v>300</v>
      </c>
      <c r="D20" s="14">
        <v>1</v>
      </c>
      <c r="E20" s="14"/>
      <c r="F20" s="120"/>
      <c r="G20" s="14"/>
      <c r="H20" s="14"/>
      <c r="I20" s="14"/>
      <c r="J20" s="14" t="s">
        <v>49</v>
      </c>
      <c r="K20" s="11" t="s">
        <v>49</v>
      </c>
      <c r="L20" s="114"/>
    </row>
    <row r="21" spans="2:12" x14ac:dyDescent="0.25">
      <c r="B21" s="10" t="s">
        <v>302</v>
      </c>
      <c r="C21" s="14" t="s">
        <v>187</v>
      </c>
      <c r="D21" s="14">
        <v>2</v>
      </c>
      <c r="E21" s="14"/>
      <c r="F21" s="120"/>
      <c r="G21" s="14"/>
      <c r="H21" s="14"/>
      <c r="I21" s="14"/>
      <c r="J21" s="14" t="s">
        <v>49</v>
      </c>
      <c r="K21" s="11" t="s">
        <v>49</v>
      </c>
      <c r="L21" s="114"/>
    </row>
    <row r="22" spans="2:12" x14ac:dyDescent="0.25">
      <c r="B22" s="10" t="s">
        <v>303</v>
      </c>
      <c r="C22" s="14" t="s">
        <v>304</v>
      </c>
      <c r="D22" s="14">
        <v>1</v>
      </c>
      <c r="E22" s="14"/>
      <c r="F22" s="120"/>
      <c r="G22" s="14"/>
      <c r="H22" s="14"/>
      <c r="I22" s="14"/>
      <c r="J22" s="14" t="s">
        <v>49</v>
      </c>
      <c r="K22" s="11" t="s">
        <v>49</v>
      </c>
      <c r="L22" s="114"/>
    </row>
    <row r="23" spans="2:12" x14ac:dyDescent="0.25">
      <c r="B23" s="10" t="s">
        <v>188</v>
      </c>
      <c r="C23" s="123" t="s">
        <v>305</v>
      </c>
      <c r="D23" s="14">
        <v>4</v>
      </c>
      <c r="E23" s="14"/>
      <c r="F23" s="120"/>
      <c r="G23" s="14"/>
      <c r="H23" s="14"/>
      <c r="I23" s="14"/>
      <c r="J23" s="14"/>
      <c r="K23" s="11" t="s">
        <v>49</v>
      </c>
      <c r="L23" s="114"/>
    </row>
    <row r="24" spans="2:12" x14ac:dyDescent="0.25">
      <c r="B24" s="126" t="s">
        <v>316</v>
      </c>
      <c r="C24" s="14" t="s">
        <v>317</v>
      </c>
      <c r="D24" s="14">
        <v>1</v>
      </c>
      <c r="E24" s="14"/>
      <c r="F24" s="120"/>
      <c r="G24" s="14"/>
      <c r="H24" s="14"/>
      <c r="I24" s="14"/>
      <c r="J24" s="14"/>
      <c r="K24" s="11" t="s">
        <v>49</v>
      </c>
      <c r="L24" s="114"/>
    </row>
    <row r="25" spans="2:12" x14ac:dyDescent="0.25">
      <c r="B25" s="57" t="s">
        <v>67</v>
      </c>
      <c r="C25" s="21" t="s">
        <v>68</v>
      </c>
      <c r="D25" s="21" t="s">
        <v>243</v>
      </c>
      <c r="E25" s="21" t="s">
        <v>66</v>
      </c>
      <c r="F25" s="21"/>
      <c r="G25" s="21"/>
      <c r="H25" s="21"/>
      <c r="I25" s="21"/>
      <c r="J25" s="21" t="s">
        <v>49</v>
      </c>
      <c r="K25" s="39" t="s">
        <v>49</v>
      </c>
    </row>
    <row r="26" spans="2:12" x14ac:dyDescent="0.25">
      <c r="B26" s="33" t="s">
        <v>64</v>
      </c>
      <c r="C26" s="24" t="s">
        <v>65</v>
      </c>
      <c r="D26" s="24" t="s">
        <v>155</v>
      </c>
      <c r="E26" s="24" t="s">
        <v>66</v>
      </c>
      <c r="F26" s="24"/>
      <c r="G26" s="24" t="s">
        <v>49</v>
      </c>
      <c r="H26" s="24" t="s">
        <v>49</v>
      </c>
      <c r="I26" s="24" t="s">
        <v>49</v>
      </c>
      <c r="J26" s="24" t="s">
        <v>49</v>
      </c>
      <c r="K26" s="32" t="s">
        <v>49</v>
      </c>
    </row>
    <row r="27" spans="2:12" x14ac:dyDescent="0.25">
      <c r="B27" s="62" t="s">
        <v>244</v>
      </c>
      <c r="C27" s="29" t="s">
        <v>245</v>
      </c>
      <c r="D27" s="63" t="s">
        <v>318</v>
      </c>
      <c r="E27" s="63" t="s">
        <v>66</v>
      </c>
      <c r="F27" s="63"/>
      <c r="G27" s="63"/>
      <c r="H27" s="63"/>
      <c r="I27" s="63" t="s">
        <v>49</v>
      </c>
      <c r="J27" s="63" t="s">
        <v>49</v>
      </c>
      <c r="K27" s="64" t="s">
        <v>49</v>
      </c>
    </row>
    <row r="28" spans="2:12" x14ac:dyDescent="0.25">
      <c r="B28" s="60" t="s">
        <v>248</v>
      </c>
      <c r="C28" s="26" t="s">
        <v>249</v>
      </c>
      <c r="D28" s="26" t="s">
        <v>282</v>
      </c>
      <c r="E28" s="26" t="s">
        <v>66</v>
      </c>
      <c r="F28" s="25"/>
      <c r="G28" s="25"/>
      <c r="H28" s="25"/>
      <c r="I28" s="25" t="s">
        <v>49</v>
      </c>
      <c r="J28" s="25" t="s">
        <v>49</v>
      </c>
      <c r="K28" s="47" t="s">
        <v>49</v>
      </c>
    </row>
    <row r="29" spans="2:12" x14ac:dyDescent="0.25">
      <c r="B29" s="65" t="s">
        <v>251</v>
      </c>
      <c r="C29" s="28" t="s">
        <v>157</v>
      </c>
      <c r="D29" s="66" t="s">
        <v>306</v>
      </c>
      <c r="E29" s="66" t="s">
        <v>66</v>
      </c>
      <c r="F29" s="31"/>
      <c r="G29" s="31"/>
      <c r="H29" s="137" t="s">
        <v>49</v>
      </c>
      <c r="I29" s="31" t="s">
        <v>49</v>
      </c>
      <c r="J29" s="31" t="s">
        <v>49</v>
      </c>
      <c r="K29" s="67" t="s">
        <v>49</v>
      </c>
    </row>
    <row r="30" spans="2:12" x14ac:dyDescent="0.25">
      <c r="B30" s="58" t="s">
        <v>75</v>
      </c>
      <c r="C30" s="45">
        <v>5000072</v>
      </c>
      <c r="D30" s="45" t="s">
        <v>319</v>
      </c>
      <c r="E30" s="45" t="s">
        <v>66</v>
      </c>
      <c r="F30" s="45"/>
      <c r="G30" s="45"/>
      <c r="H30" s="45"/>
      <c r="I30" s="45"/>
      <c r="J30" s="45" t="s">
        <v>49</v>
      </c>
      <c r="K30" s="54" t="s">
        <v>49</v>
      </c>
    </row>
    <row r="31" spans="2:12" x14ac:dyDescent="0.25">
      <c r="B31" s="55" t="s">
        <v>258</v>
      </c>
      <c r="C31" s="51" t="s">
        <v>85</v>
      </c>
      <c r="D31" s="56">
        <v>1</v>
      </c>
      <c r="E31" s="56" t="s">
        <v>71</v>
      </c>
      <c r="F31" s="51" t="s">
        <v>49</v>
      </c>
      <c r="G31" s="51" t="s">
        <v>49</v>
      </c>
      <c r="H31" s="51" t="s">
        <v>49</v>
      </c>
      <c r="I31" s="51" t="s">
        <v>49</v>
      </c>
      <c r="J31" s="51" t="s">
        <v>49</v>
      </c>
      <c r="K31" s="52" t="s">
        <v>49</v>
      </c>
    </row>
    <row r="32" spans="2:12" ht="16.5" thickBot="1" x14ac:dyDescent="0.3">
      <c r="B32" s="30" t="s">
        <v>259</v>
      </c>
      <c r="C32" s="5" t="s">
        <v>70</v>
      </c>
      <c r="D32" s="5" t="s">
        <v>320</v>
      </c>
      <c r="E32" s="5" t="s">
        <v>71</v>
      </c>
      <c r="F32" s="5" t="s">
        <v>49</v>
      </c>
      <c r="G32" s="5" t="s">
        <v>49</v>
      </c>
      <c r="H32" s="5" t="s">
        <v>49</v>
      </c>
      <c r="I32" s="5" t="s">
        <v>49</v>
      </c>
      <c r="J32" s="5" t="s">
        <v>49</v>
      </c>
      <c r="K32" s="6" t="s">
        <v>49</v>
      </c>
    </row>
    <row r="33" spans="2:11" x14ac:dyDescent="0.25">
      <c r="F33" s="1" t="s">
        <v>202</v>
      </c>
    </row>
    <row r="34" spans="2:11" x14ac:dyDescent="0.25">
      <c r="C34"/>
      <c r="D34" t="s">
        <v>76</v>
      </c>
      <c r="E34"/>
      <c r="F34" t="s">
        <v>203</v>
      </c>
      <c r="G34"/>
      <c r="H34"/>
      <c r="I34"/>
      <c r="J34"/>
      <c r="K34"/>
    </row>
    <row r="35" spans="2:11" x14ac:dyDescent="0.25">
      <c r="B35" s="36" t="s">
        <v>77</v>
      </c>
      <c r="C35" s="21" t="s">
        <v>79</v>
      </c>
      <c r="D35" s="21" t="s">
        <v>78</v>
      </c>
      <c r="E35"/>
      <c r="F35" s="122" t="s">
        <v>204</v>
      </c>
      <c r="G35" s="105" t="s">
        <v>309</v>
      </c>
      <c r="H35"/>
      <c r="I35"/>
      <c r="J35"/>
      <c r="K35"/>
    </row>
    <row r="36" spans="2:11" x14ac:dyDescent="0.25">
      <c r="B36" s="36" t="s">
        <v>260</v>
      </c>
      <c r="C36" s="26" t="s">
        <v>262</v>
      </c>
      <c r="D36"/>
      <c r="E36"/>
      <c r="F36" s="134" t="s">
        <v>204</v>
      </c>
      <c r="G36" s="135" t="s">
        <v>206</v>
      </c>
      <c r="H36"/>
      <c r="I36"/>
      <c r="J36"/>
      <c r="K36"/>
    </row>
    <row r="37" spans="2:11" x14ac:dyDescent="0.25">
      <c r="B37" s="36" t="s">
        <v>170</v>
      </c>
      <c r="C37" s="28" t="s">
        <v>261</v>
      </c>
      <c r="D37" s="28" t="s">
        <v>171</v>
      </c>
      <c r="E37"/>
      <c r="F37"/>
      <c r="G37"/>
      <c r="H37"/>
      <c r="I37"/>
      <c r="J37"/>
      <c r="K37"/>
    </row>
    <row r="38" spans="2:11" x14ac:dyDescent="0.25">
      <c r="B38" s="36" t="s">
        <v>263</v>
      </c>
      <c r="C38" s="29" t="s">
        <v>264</v>
      </c>
      <c r="D38"/>
      <c r="E38"/>
      <c r="F38"/>
      <c r="G38"/>
      <c r="H38"/>
      <c r="I38"/>
      <c r="J38"/>
      <c r="K38"/>
    </row>
    <row r="39" spans="2:11" x14ac:dyDescent="0.25">
      <c r="B39" s="36" t="s">
        <v>80</v>
      </c>
      <c r="C39" s="24" t="s">
        <v>74</v>
      </c>
      <c r="D39"/>
      <c r="E39"/>
      <c r="F39"/>
      <c r="G39"/>
      <c r="H39"/>
      <c r="I39"/>
      <c r="J39"/>
      <c r="K39"/>
    </row>
    <row r="40" spans="2:11" x14ac:dyDescent="0.25">
      <c r="B40" s="36" t="s">
        <v>83</v>
      </c>
      <c r="C40" s="45">
        <v>5000072</v>
      </c>
      <c r="D40"/>
      <c r="E40"/>
      <c r="F40"/>
      <c r="G40"/>
      <c r="H40"/>
      <c r="I40"/>
      <c r="J40"/>
      <c r="K40"/>
    </row>
    <row r="41" spans="2:11" x14ac:dyDescent="0.25">
      <c r="B41" s="36" t="s">
        <v>84</v>
      </c>
      <c r="C41" s="51" t="s">
        <v>85</v>
      </c>
      <c r="D41"/>
      <c r="E41"/>
      <c r="F41"/>
      <c r="G41"/>
      <c r="H41"/>
      <c r="I41"/>
      <c r="J41"/>
      <c r="K41"/>
    </row>
  </sheetData>
  <mergeCells count="7">
    <mergeCell ref="B2:K2"/>
    <mergeCell ref="L3:L4"/>
    <mergeCell ref="B3:B4"/>
    <mergeCell ref="C3:C4"/>
    <mergeCell ref="D3:D4"/>
    <mergeCell ref="F3:K3"/>
    <mergeCell ref="E3:E4"/>
  </mergeCells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41"/>
  <sheetViews>
    <sheetView topLeftCell="A22" zoomScaleNormal="100" workbookViewId="0">
      <selection activeCell="B2" sqref="B2:K41"/>
    </sheetView>
  </sheetViews>
  <sheetFormatPr defaultColWidth="10.875" defaultRowHeight="15.75" x14ac:dyDescent="0.25"/>
  <cols>
    <col min="2" max="2" width="49.625" customWidth="1"/>
    <col min="3" max="3" width="12.375" style="1" customWidth="1"/>
    <col min="4" max="5" width="12.875" style="1" customWidth="1"/>
    <col min="6" max="9" width="6.125" style="1" customWidth="1"/>
    <col min="10" max="10" width="6.125" style="1" bestFit="1" customWidth="1"/>
    <col min="11" max="11" width="6.125" style="1" customWidth="1"/>
    <col min="12" max="12" width="12.25" customWidth="1"/>
  </cols>
  <sheetData>
    <row r="1" spans="2:12" ht="16.5" thickBot="1" x14ac:dyDescent="0.3"/>
    <row r="2" spans="2:12" ht="32.25" thickBot="1" x14ac:dyDescent="0.55000000000000004">
      <c r="B2" s="211" t="s">
        <v>321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5"/>
      <c r="K3" s="227"/>
      <c r="L3" s="214" t="s">
        <v>114</v>
      </c>
    </row>
    <row r="4" spans="2:12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6000</v>
      </c>
      <c r="L4" s="215"/>
    </row>
    <row r="5" spans="2:12" x14ac:dyDescent="0.25">
      <c r="B5" s="77" t="s">
        <v>47</v>
      </c>
      <c r="C5" s="107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78" t="s">
        <v>49</v>
      </c>
      <c r="K5" s="7" t="s">
        <v>49</v>
      </c>
      <c r="L5" s="90" t="s">
        <v>322</v>
      </c>
    </row>
    <row r="6" spans="2:12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11" t="s">
        <v>49</v>
      </c>
      <c r="L6" s="114"/>
    </row>
    <row r="7" spans="2:12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" t="s">
        <v>49</v>
      </c>
      <c r="L7" s="114"/>
    </row>
    <row r="8" spans="2:12" x14ac:dyDescent="0.25">
      <c r="B8" s="60" t="s">
        <v>52</v>
      </c>
      <c r="C8" s="25" t="s">
        <v>288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11" t="s">
        <v>49</v>
      </c>
      <c r="L8" s="114"/>
    </row>
    <row r="9" spans="2:12" x14ac:dyDescent="0.25">
      <c r="B9" s="60" t="s">
        <v>54</v>
      </c>
      <c r="C9" s="25" t="s">
        <v>95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11" t="s">
        <v>49</v>
      </c>
      <c r="L9" s="114"/>
    </row>
    <row r="10" spans="2:12" x14ac:dyDescent="0.25">
      <c r="B10" s="60" t="s">
        <v>233</v>
      </c>
      <c r="C10" s="25" t="s">
        <v>234</v>
      </c>
      <c r="D10" s="25">
        <v>1</v>
      </c>
      <c r="E10" s="25"/>
      <c r="F10" s="25"/>
      <c r="G10" s="25"/>
      <c r="H10" s="25"/>
      <c r="I10" s="25"/>
      <c r="J10" s="25" t="s">
        <v>49</v>
      </c>
      <c r="K10" s="11" t="s">
        <v>49</v>
      </c>
      <c r="L10" s="114"/>
    </row>
    <row r="11" spans="2:12" x14ac:dyDescent="0.25">
      <c r="B11" s="60" t="s">
        <v>236</v>
      </c>
      <c r="C11" s="25" t="s">
        <v>237</v>
      </c>
      <c r="D11" s="25">
        <v>1</v>
      </c>
      <c r="E11" s="25"/>
      <c r="F11" s="104"/>
      <c r="G11" s="25"/>
      <c r="H11" s="25"/>
      <c r="I11" s="25"/>
      <c r="J11" s="25" t="s">
        <v>49</v>
      </c>
      <c r="K11" s="11" t="s">
        <v>49</v>
      </c>
      <c r="L11" s="114"/>
    </row>
    <row r="12" spans="2:12" x14ac:dyDescent="0.25">
      <c r="B12" s="60" t="s">
        <v>238</v>
      </c>
      <c r="C12" s="25" t="s">
        <v>239</v>
      </c>
      <c r="D12" s="25">
        <v>1</v>
      </c>
      <c r="E12" s="25"/>
      <c r="F12" s="104" t="s">
        <v>49</v>
      </c>
      <c r="G12" s="25"/>
      <c r="H12" s="25" t="s">
        <v>49</v>
      </c>
      <c r="I12" s="25" t="s">
        <v>49</v>
      </c>
      <c r="J12" s="25" t="s">
        <v>49</v>
      </c>
      <c r="K12" s="11" t="s">
        <v>49</v>
      </c>
      <c r="L12" s="114"/>
    </row>
    <row r="13" spans="2:12" x14ac:dyDescent="0.25">
      <c r="B13" s="60" t="s">
        <v>240</v>
      </c>
      <c r="C13" s="25" t="s">
        <v>291</v>
      </c>
      <c r="D13" s="25">
        <v>1</v>
      </c>
      <c r="E13" s="25"/>
      <c r="F13" s="104" t="s">
        <v>49</v>
      </c>
      <c r="G13" s="25"/>
      <c r="H13" s="25" t="s">
        <v>49</v>
      </c>
      <c r="I13" s="25" t="s">
        <v>49</v>
      </c>
      <c r="J13" s="25" t="s">
        <v>49</v>
      </c>
      <c r="K13" s="11" t="s">
        <v>49</v>
      </c>
      <c r="L13" s="127" t="s">
        <v>290</v>
      </c>
    </row>
    <row r="14" spans="2:12" x14ac:dyDescent="0.25">
      <c r="B14" s="86" t="s">
        <v>312</v>
      </c>
      <c r="C14" s="25" t="s">
        <v>313</v>
      </c>
      <c r="D14" s="25">
        <v>1</v>
      </c>
      <c r="E14" s="25"/>
      <c r="F14" s="104"/>
      <c r="G14" s="25"/>
      <c r="H14" s="25"/>
      <c r="I14" s="25"/>
      <c r="J14" s="25" t="s">
        <v>49</v>
      </c>
      <c r="K14" s="11" t="s">
        <v>49</v>
      </c>
      <c r="L14" s="114"/>
    </row>
    <row r="15" spans="2:12" x14ac:dyDescent="0.25">
      <c r="B15" s="109" t="s">
        <v>314</v>
      </c>
      <c r="C15" s="25" t="s">
        <v>315</v>
      </c>
      <c r="D15" s="25">
        <v>1</v>
      </c>
      <c r="E15" s="25"/>
      <c r="F15" s="25"/>
      <c r="G15" s="25"/>
      <c r="H15" s="25"/>
      <c r="I15" s="25"/>
      <c r="J15" s="25" t="s">
        <v>49</v>
      </c>
      <c r="K15" s="11" t="s">
        <v>49</v>
      </c>
      <c r="L15" s="114"/>
    </row>
    <row r="16" spans="2:12" x14ac:dyDescent="0.25">
      <c r="B16" s="109" t="s">
        <v>323</v>
      </c>
      <c r="C16" s="25" t="s">
        <v>293</v>
      </c>
      <c r="D16" s="25">
        <v>1</v>
      </c>
      <c r="E16" s="25"/>
      <c r="F16" s="25"/>
      <c r="G16" s="25"/>
      <c r="H16" s="25" t="s">
        <v>49</v>
      </c>
      <c r="I16" s="25" t="s">
        <v>49</v>
      </c>
      <c r="J16" s="25" t="s">
        <v>49</v>
      </c>
      <c r="K16" s="11" t="s">
        <v>49</v>
      </c>
      <c r="L16" s="114"/>
    </row>
    <row r="17" spans="2:12" x14ac:dyDescent="0.25">
      <c r="B17" s="109" t="s">
        <v>324</v>
      </c>
      <c r="C17" s="25" t="s">
        <v>295</v>
      </c>
      <c r="D17" s="25">
        <v>2</v>
      </c>
      <c r="E17" s="25"/>
      <c r="F17" s="25"/>
      <c r="G17" s="25"/>
      <c r="H17" s="25" t="s">
        <v>49</v>
      </c>
      <c r="I17" s="25" t="s">
        <v>49</v>
      </c>
      <c r="J17" s="25" t="s">
        <v>49</v>
      </c>
      <c r="K17" s="11" t="s">
        <v>49</v>
      </c>
      <c r="L17" s="114"/>
    </row>
    <row r="18" spans="2:12" x14ac:dyDescent="0.25">
      <c r="B18" s="10" t="s">
        <v>152</v>
      </c>
      <c r="C18" s="14" t="s">
        <v>297</v>
      </c>
      <c r="D18" s="14">
        <v>1</v>
      </c>
      <c r="E18" s="14"/>
      <c r="F18" s="120"/>
      <c r="G18" s="14"/>
      <c r="H18" s="14"/>
      <c r="I18" s="14"/>
      <c r="J18" s="14"/>
      <c r="K18" s="11" t="s">
        <v>49</v>
      </c>
      <c r="L18" s="114"/>
    </row>
    <row r="19" spans="2:12" x14ac:dyDescent="0.25">
      <c r="B19" s="10" t="s">
        <v>186</v>
      </c>
      <c r="C19" s="14" t="s">
        <v>298</v>
      </c>
      <c r="D19" s="14">
        <v>2</v>
      </c>
      <c r="E19" s="14"/>
      <c r="F19" s="120"/>
      <c r="G19" s="14"/>
      <c r="H19" s="14"/>
      <c r="I19" s="14"/>
      <c r="J19" s="14" t="s">
        <v>49</v>
      </c>
      <c r="K19" s="11" t="s">
        <v>49</v>
      </c>
      <c r="L19" s="114"/>
    </row>
    <row r="20" spans="2:12" x14ac:dyDescent="0.25">
      <c r="B20" s="10" t="s">
        <v>299</v>
      </c>
      <c r="C20" s="14" t="s">
        <v>300</v>
      </c>
      <c r="D20" s="14">
        <v>1</v>
      </c>
      <c r="E20" s="14"/>
      <c r="F20" s="120"/>
      <c r="G20" s="14"/>
      <c r="H20" s="14"/>
      <c r="I20" s="14"/>
      <c r="J20" s="14" t="s">
        <v>49</v>
      </c>
      <c r="K20" s="11" t="s">
        <v>49</v>
      </c>
      <c r="L20" s="114"/>
    </row>
    <row r="21" spans="2:12" x14ac:dyDescent="0.25">
      <c r="B21" s="10" t="s">
        <v>302</v>
      </c>
      <c r="C21" s="14" t="s">
        <v>187</v>
      </c>
      <c r="D21" s="14">
        <v>2</v>
      </c>
      <c r="E21" s="14"/>
      <c r="F21" s="120"/>
      <c r="G21" s="14"/>
      <c r="H21" s="14"/>
      <c r="I21" s="14"/>
      <c r="J21" s="14" t="s">
        <v>49</v>
      </c>
      <c r="K21" s="11" t="s">
        <v>49</v>
      </c>
      <c r="L21" s="114"/>
    </row>
    <row r="22" spans="2:12" x14ac:dyDescent="0.25">
      <c r="B22" s="10" t="s">
        <v>303</v>
      </c>
      <c r="C22" s="14" t="s">
        <v>304</v>
      </c>
      <c r="D22" s="14">
        <v>1</v>
      </c>
      <c r="E22" s="14"/>
      <c r="F22" s="120"/>
      <c r="G22" s="14"/>
      <c r="H22" s="14"/>
      <c r="I22" s="14"/>
      <c r="J22" s="14" t="s">
        <v>49</v>
      </c>
      <c r="K22" s="11" t="s">
        <v>49</v>
      </c>
      <c r="L22" s="114"/>
    </row>
    <row r="23" spans="2:12" x14ac:dyDescent="0.25">
      <c r="B23" s="10" t="s">
        <v>188</v>
      </c>
      <c r="C23" s="123" t="s">
        <v>305</v>
      </c>
      <c r="D23" s="14">
        <v>4</v>
      </c>
      <c r="E23" s="14"/>
      <c r="F23" s="120"/>
      <c r="G23" s="14"/>
      <c r="H23" s="14"/>
      <c r="I23" s="14"/>
      <c r="J23" s="14"/>
      <c r="K23" s="11" t="s">
        <v>49</v>
      </c>
      <c r="L23" s="114"/>
    </row>
    <row r="24" spans="2:12" x14ac:dyDescent="0.25">
      <c r="B24" s="126" t="s">
        <v>316</v>
      </c>
      <c r="C24" s="14" t="s">
        <v>317</v>
      </c>
      <c r="D24" s="14">
        <v>1</v>
      </c>
      <c r="E24" s="14"/>
      <c r="F24" s="120"/>
      <c r="G24" s="14"/>
      <c r="H24" s="14"/>
      <c r="I24" s="14"/>
      <c r="J24" s="14"/>
      <c r="K24" s="11" t="s">
        <v>49</v>
      </c>
      <c r="L24" s="114"/>
    </row>
    <row r="25" spans="2:12" x14ac:dyDescent="0.25">
      <c r="B25" s="57" t="s">
        <v>67</v>
      </c>
      <c r="C25" s="21" t="s">
        <v>68</v>
      </c>
      <c r="D25" s="21" t="s">
        <v>243</v>
      </c>
      <c r="E25" s="21" t="s">
        <v>66</v>
      </c>
      <c r="F25" s="21"/>
      <c r="G25" s="21"/>
      <c r="H25" s="21"/>
      <c r="I25" s="21"/>
      <c r="J25" s="21" t="s">
        <v>49</v>
      </c>
      <c r="K25" s="39" t="s">
        <v>49</v>
      </c>
      <c r="L25" s="8">
        <v>46</v>
      </c>
    </row>
    <row r="26" spans="2:12" x14ac:dyDescent="0.25">
      <c r="B26" s="33" t="s">
        <v>64</v>
      </c>
      <c r="C26" s="24" t="s">
        <v>65</v>
      </c>
      <c r="D26" s="24" t="s">
        <v>155</v>
      </c>
      <c r="E26" s="24" t="s">
        <v>66</v>
      </c>
      <c r="F26" s="24"/>
      <c r="G26" s="24" t="s">
        <v>49</v>
      </c>
      <c r="H26" s="24" t="s">
        <v>49</v>
      </c>
      <c r="I26" s="24" t="s">
        <v>49</v>
      </c>
      <c r="J26" s="24" t="s">
        <v>49</v>
      </c>
      <c r="K26" s="32" t="s">
        <v>49</v>
      </c>
      <c r="L26" s="8" t="s">
        <v>135</v>
      </c>
    </row>
    <row r="27" spans="2:12" x14ac:dyDescent="0.25">
      <c r="B27" s="62" t="s">
        <v>244</v>
      </c>
      <c r="C27" s="29" t="s">
        <v>245</v>
      </c>
      <c r="D27" s="63" t="s">
        <v>318</v>
      </c>
      <c r="E27" s="63" t="s">
        <v>66</v>
      </c>
      <c r="F27" s="63"/>
      <c r="G27" s="63"/>
      <c r="H27" s="63"/>
      <c r="I27" s="63" t="s">
        <v>49</v>
      </c>
      <c r="J27" s="63" t="s">
        <v>49</v>
      </c>
      <c r="K27" s="64" t="s">
        <v>49</v>
      </c>
      <c r="L27" s="8" t="s">
        <v>247</v>
      </c>
    </row>
    <row r="28" spans="2:12" x14ac:dyDescent="0.25">
      <c r="B28" s="60" t="s">
        <v>248</v>
      </c>
      <c r="C28" s="26" t="s">
        <v>249</v>
      </c>
      <c r="D28" s="26" t="s">
        <v>155</v>
      </c>
      <c r="E28" s="26" t="s">
        <v>66</v>
      </c>
      <c r="F28" s="25"/>
      <c r="G28" s="25"/>
      <c r="H28" s="25"/>
      <c r="I28" s="25" t="s">
        <v>49</v>
      </c>
      <c r="J28" s="25" t="s">
        <v>49</v>
      </c>
      <c r="K28" s="47" t="s">
        <v>49</v>
      </c>
      <c r="L28" s="8" t="s">
        <v>250</v>
      </c>
    </row>
    <row r="29" spans="2:12" x14ac:dyDescent="0.25">
      <c r="B29" s="59" t="s">
        <v>251</v>
      </c>
      <c r="C29" s="28" t="s">
        <v>157</v>
      </c>
      <c r="D29" s="27" t="s">
        <v>306</v>
      </c>
      <c r="E29" s="27" t="s">
        <v>66</v>
      </c>
      <c r="F29" s="28"/>
      <c r="G29" s="28"/>
      <c r="H29" s="137" t="s">
        <v>49</v>
      </c>
      <c r="I29" s="28" t="s">
        <v>49</v>
      </c>
      <c r="J29" s="28" t="s">
        <v>49</v>
      </c>
      <c r="K29" s="49" t="s">
        <v>49</v>
      </c>
      <c r="L29" s="8" t="s">
        <v>253</v>
      </c>
    </row>
    <row r="30" spans="2:12" x14ac:dyDescent="0.25">
      <c r="B30" s="58" t="s">
        <v>75</v>
      </c>
      <c r="C30" s="45">
        <v>5000072</v>
      </c>
      <c r="D30" s="45" t="s">
        <v>319</v>
      </c>
      <c r="E30" s="45" t="s">
        <v>66</v>
      </c>
      <c r="F30" s="45"/>
      <c r="G30" s="45"/>
      <c r="H30" s="45"/>
      <c r="I30" s="45"/>
      <c r="J30" s="45" t="s">
        <v>49</v>
      </c>
      <c r="K30" s="54" t="s">
        <v>49</v>
      </c>
      <c r="L30" s="8" t="s">
        <v>110</v>
      </c>
    </row>
    <row r="31" spans="2:12" x14ac:dyDescent="0.25">
      <c r="B31" s="55" t="s">
        <v>258</v>
      </c>
      <c r="C31" s="51" t="s">
        <v>85</v>
      </c>
      <c r="D31" s="56">
        <v>1</v>
      </c>
      <c r="E31" s="56" t="s">
        <v>218</v>
      </c>
      <c r="F31" s="51" t="s">
        <v>49</v>
      </c>
      <c r="G31" s="51" t="s">
        <v>49</v>
      </c>
      <c r="H31" s="51" t="s">
        <v>49</v>
      </c>
      <c r="I31" s="51" t="s">
        <v>49</v>
      </c>
      <c r="J31" s="51" t="s">
        <v>49</v>
      </c>
      <c r="K31" s="52" t="s">
        <v>49</v>
      </c>
      <c r="L31" s="8"/>
    </row>
    <row r="32" spans="2:12" ht="16.5" thickBot="1" x14ac:dyDescent="0.3">
      <c r="B32" s="30" t="s">
        <v>259</v>
      </c>
      <c r="C32" s="5" t="s">
        <v>70</v>
      </c>
      <c r="D32" s="5" t="s">
        <v>320</v>
      </c>
      <c r="E32" s="5" t="s">
        <v>71</v>
      </c>
      <c r="F32" s="5" t="s">
        <v>49</v>
      </c>
      <c r="G32" s="5" t="s">
        <v>49</v>
      </c>
      <c r="H32" s="5" t="s">
        <v>49</v>
      </c>
      <c r="I32" s="5" t="s">
        <v>49</v>
      </c>
      <c r="J32" s="5" t="s">
        <v>49</v>
      </c>
      <c r="K32" s="6" t="s">
        <v>49</v>
      </c>
      <c r="L32" s="8" t="s">
        <v>108</v>
      </c>
    </row>
    <row r="33" spans="2:11" x14ac:dyDescent="0.25">
      <c r="F33" s="1" t="s">
        <v>202</v>
      </c>
    </row>
    <row r="34" spans="2:11" x14ac:dyDescent="0.25">
      <c r="C34"/>
      <c r="D34" t="s">
        <v>76</v>
      </c>
      <c r="E34"/>
      <c r="F34" t="s">
        <v>203</v>
      </c>
      <c r="G34"/>
      <c r="H34"/>
      <c r="I34"/>
      <c r="J34"/>
      <c r="K34"/>
    </row>
    <row r="35" spans="2:11" x14ac:dyDescent="0.25">
      <c r="B35" s="36" t="s">
        <v>77</v>
      </c>
      <c r="C35" s="21" t="s">
        <v>79</v>
      </c>
      <c r="D35" s="21" t="s">
        <v>78</v>
      </c>
      <c r="E35"/>
      <c r="F35" s="122" t="s">
        <v>204</v>
      </c>
      <c r="G35" s="105" t="s">
        <v>309</v>
      </c>
      <c r="H35"/>
      <c r="I35"/>
      <c r="J35"/>
      <c r="K35"/>
    </row>
    <row r="36" spans="2:11" x14ac:dyDescent="0.25">
      <c r="B36" s="36" t="s">
        <v>260</v>
      </c>
      <c r="C36" s="26" t="s">
        <v>262</v>
      </c>
      <c r="D36"/>
      <c r="E36"/>
      <c r="F36" s="134" t="s">
        <v>204</v>
      </c>
      <c r="G36" s="135" t="s">
        <v>206</v>
      </c>
      <c r="H36"/>
      <c r="I36"/>
      <c r="J36"/>
      <c r="K36"/>
    </row>
    <row r="37" spans="2:11" x14ac:dyDescent="0.25">
      <c r="B37" s="36" t="s">
        <v>170</v>
      </c>
      <c r="C37" s="28" t="s">
        <v>261</v>
      </c>
      <c r="D37" s="28" t="s">
        <v>171</v>
      </c>
      <c r="E37"/>
      <c r="F37"/>
      <c r="G37"/>
      <c r="H37"/>
      <c r="I37"/>
      <c r="J37"/>
      <c r="K37"/>
    </row>
    <row r="38" spans="2:11" x14ac:dyDescent="0.25">
      <c r="B38" s="36" t="s">
        <v>263</v>
      </c>
      <c r="C38" s="29" t="s">
        <v>264</v>
      </c>
      <c r="D38"/>
      <c r="E38"/>
      <c r="F38"/>
      <c r="G38"/>
      <c r="H38"/>
      <c r="I38"/>
      <c r="J38"/>
      <c r="K38"/>
    </row>
    <row r="39" spans="2:11" x14ac:dyDescent="0.25">
      <c r="B39" s="36" t="s">
        <v>80</v>
      </c>
      <c r="C39" s="24" t="s">
        <v>74</v>
      </c>
      <c r="D39"/>
    </row>
    <row r="40" spans="2:11" x14ac:dyDescent="0.25">
      <c r="B40" s="36" t="s">
        <v>83</v>
      </c>
      <c r="C40" s="45">
        <v>5000072</v>
      </c>
      <c r="D40"/>
    </row>
    <row r="41" spans="2:11" x14ac:dyDescent="0.25">
      <c r="B41" s="36" t="s">
        <v>84</v>
      </c>
      <c r="C41" s="51" t="s">
        <v>85</v>
      </c>
      <c r="D41"/>
    </row>
  </sheetData>
  <mergeCells count="7">
    <mergeCell ref="B2:K2"/>
    <mergeCell ref="L3:L4"/>
    <mergeCell ref="B3:B4"/>
    <mergeCell ref="C3:C4"/>
    <mergeCell ref="D3:D4"/>
    <mergeCell ref="F3:K3"/>
    <mergeCell ref="E3:E4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5"/>
  <sheetViews>
    <sheetView topLeftCell="A7" workbookViewId="0"/>
  </sheetViews>
  <sheetFormatPr defaultColWidth="10.875" defaultRowHeight="15.75" x14ac:dyDescent="0.25"/>
  <cols>
    <col min="2" max="2" width="38.25" customWidth="1"/>
    <col min="3" max="3" width="12.375" style="1" customWidth="1"/>
    <col min="4" max="4" width="8.25" style="1" customWidth="1"/>
    <col min="5" max="5" width="4.375" style="1" customWidth="1"/>
    <col min="6" max="6" width="4.875" style="1" customWidth="1"/>
    <col min="7" max="10" width="6.125" style="1" customWidth="1"/>
    <col min="11" max="11" width="6.125" style="1" bestFit="1" customWidth="1"/>
  </cols>
  <sheetData>
    <row r="1" spans="2:12" ht="16.5" thickBot="1" x14ac:dyDescent="0.3"/>
    <row r="2" spans="2:12" ht="32.25" thickBot="1" x14ac:dyDescent="0.55000000000000004">
      <c r="B2" s="211" t="s">
        <v>325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6"/>
      <c r="K3" s="227"/>
      <c r="L3" s="214" t="s">
        <v>114</v>
      </c>
    </row>
    <row r="4" spans="2:12" ht="39.75" customHeight="1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2" x14ac:dyDescent="0.25">
      <c r="B5" s="77" t="s">
        <v>47</v>
      </c>
      <c r="C5" s="78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96" t="s">
        <v>49</v>
      </c>
      <c r="K5" s="96" t="s">
        <v>49</v>
      </c>
      <c r="L5" s="25" t="s">
        <v>140</v>
      </c>
    </row>
    <row r="6" spans="2:12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47" t="s">
        <v>49</v>
      </c>
      <c r="K6" s="47" t="s">
        <v>49</v>
      </c>
      <c r="L6" s="25" t="s">
        <v>89</v>
      </c>
    </row>
    <row r="7" spans="2:12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47" t="s">
        <v>49</v>
      </c>
      <c r="K7" s="47" t="s">
        <v>49</v>
      </c>
      <c r="L7" s="25" t="s">
        <v>92</v>
      </c>
    </row>
    <row r="8" spans="2:12" x14ac:dyDescent="0.25">
      <c r="B8" s="60" t="s">
        <v>52</v>
      </c>
      <c r="C8" s="25" t="s">
        <v>182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47" t="s">
        <v>49</v>
      </c>
      <c r="K8" s="47" t="s">
        <v>49</v>
      </c>
      <c r="L8" s="114"/>
    </row>
    <row r="9" spans="2:12" x14ac:dyDescent="0.25">
      <c r="B9" s="60" t="s">
        <v>54</v>
      </c>
      <c r="C9" s="25" t="s">
        <v>183</v>
      </c>
      <c r="D9" s="25">
        <v>1</v>
      </c>
      <c r="E9" s="25"/>
      <c r="F9" s="25"/>
      <c r="G9" s="25"/>
      <c r="H9" s="25"/>
      <c r="I9" s="25" t="s">
        <v>49</v>
      </c>
      <c r="J9" s="47" t="s">
        <v>49</v>
      </c>
      <c r="K9" s="47" t="s">
        <v>49</v>
      </c>
      <c r="L9" s="114"/>
    </row>
    <row r="10" spans="2:12" x14ac:dyDescent="0.25">
      <c r="B10" s="60" t="s">
        <v>238</v>
      </c>
      <c r="C10" s="25" t="s">
        <v>239</v>
      </c>
      <c r="D10" s="25">
        <v>1</v>
      </c>
      <c r="E10" s="25"/>
      <c r="F10" s="104" t="s">
        <v>49</v>
      </c>
      <c r="G10" s="25"/>
      <c r="H10" s="25" t="s">
        <v>49</v>
      </c>
      <c r="I10" s="25" t="s">
        <v>49</v>
      </c>
      <c r="J10" s="47" t="s">
        <v>49</v>
      </c>
      <c r="K10" s="47" t="s">
        <v>49</v>
      </c>
      <c r="L10" s="114"/>
    </row>
    <row r="11" spans="2:12" x14ac:dyDescent="0.25">
      <c r="B11" s="60" t="s">
        <v>240</v>
      </c>
      <c r="C11" s="25" t="s">
        <v>291</v>
      </c>
      <c r="D11" s="25">
        <v>1</v>
      </c>
      <c r="E11" s="25"/>
      <c r="F11" s="104" t="s">
        <v>49</v>
      </c>
      <c r="G11" s="25"/>
      <c r="H11" s="25" t="s">
        <v>49</v>
      </c>
      <c r="I11" s="25" t="s">
        <v>49</v>
      </c>
      <c r="J11" s="47" t="s">
        <v>49</v>
      </c>
      <c r="K11" s="47" t="s">
        <v>49</v>
      </c>
      <c r="L11" s="26" t="s">
        <v>290</v>
      </c>
    </row>
    <row r="12" spans="2:12" x14ac:dyDescent="0.25">
      <c r="B12" s="60" t="s">
        <v>233</v>
      </c>
      <c r="C12" s="25" t="s">
        <v>326</v>
      </c>
      <c r="D12" s="25">
        <v>1</v>
      </c>
      <c r="E12" s="25"/>
      <c r="F12" s="25"/>
      <c r="G12" s="25"/>
      <c r="H12" s="25"/>
      <c r="I12" s="25"/>
      <c r="J12" s="47" t="s">
        <v>49</v>
      </c>
      <c r="K12" s="47" t="s">
        <v>49</v>
      </c>
      <c r="L12" s="114"/>
    </row>
    <row r="13" spans="2:12" x14ac:dyDescent="0.25">
      <c r="B13" s="109" t="s">
        <v>327</v>
      </c>
      <c r="C13" s="25" t="s">
        <v>328</v>
      </c>
      <c r="D13" s="25">
        <v>1</v>
      </c>
      <c r="E13" s="25"/>
      <c r="F13" s="25"/>
      <c r="G13" s="25"/>
      <c r="H13" s="25" t="s">
        <v>49</v>
      </c>
      <c r="I13" s="25" t="s">
        <v>49</v>
      </c>
      <c r="J13" s="47" t="s">
        <v>49</v>
      </c>
      <c r="K13" s="47" t="s">
        <v>49</v>
      </c>
      <c r="L13" s="114"/>
    </row>
    <row r="14" spans="2:12" x14ac:dyDescent="0.25">
      <c r="B14" s="109" t="s">
        <v>292</v>
      </c>
      <c r="C14" s="25" t="s">
        <v>329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47" t="s">
        <v>49</v>
      </c>
      <c r="K14" s="47" t="s">
        <v>49</v>
      </c>
      <c r="L14" s="114"/>
    </row>
    <row r="15" spans="2:12" x14ac:dyDescent="0.25">
      <c r="B15" s="109" t="s">
        <v>294</v>
      </c>
      <c r="C15" s="25" t="s">
        <v>330</v>
      </c>
      <c r="D15" s="25">
        <v>1</v>
      </c>
      <c r="E15" s="25"/>
      <c r="F15" s="25"/>
      <c r="G15" s="25"/>
      <c r="H15" s="25" t="s">
        <v>49</v>
      </c>
      <c r="I15" s="25" t="s">
        <v>49</v>
      </c>
      <c r="J15" s="47" t="s">
        <v>49</v>
      </c>
      <c r="K15" s="47" t="s">
        <v>49</v>
      </c>
      <c r="L15" s="114"/>
    </row>
    <row r="16" spans="2:12" s="130" customFormat="1" x14ac:dyDescent="0.25">
      <c r="B16" s="128" t="s">
        <v>331</v>
      </c>
      <c r="C16" s="34" t="s">
        <v>332</v>
      </c>
      <c r="D16" s="34">
        <v>1</v>
      </c>
      <c r="E16" s="34"/>
      <c r="F16" s="34"/>
      <c r="G16" s="34"/>
      <c r="H16" s="34"/>
      <c r="I16" s="34"/>
      <c r="J16" s="129"/>
      <c r="K16" s="129" t="s">
        <v>49</v>
      </c>
      <c r="L16" s="34" t="s">
        <v>333</v>
      </c>
    </row>
    <row r="17" spans="2:13" x14ac:dyDescent="0.25">
      <c r="B17" s="57" t="s">
        <v>67</v>
      </c>
      <c r="C17" s="21" t="s">
        <v>68</v>
      </c>
      <c r="D17" s="21" t="s">
        <v>334</v>
      </c>
      <c r="E17" s="21" t="s">
        <v>66</v>
      </c>
      <c r="F17" s="21"/>
      <c r="G17" s="21"/>
      <c r="H17" s="21"/>
      <c r="I17" s="21"/>
      <c r="J17" s="39" t="s">
        <v>49</v>
      </c>
      <c r="K17" s="39" t="s">
        <v>49</v>
      </c>
    </row>
    <row r="18" spans="2:13" x14ac:dyDescent="0.25">
      <c r="B18" s="33" t="s">
        <v>64</v>
      </c>
      <c r="C18" s="24" t="s">
        <v>65</v>
      </c>
      <c r="D18" s="24" t="s">
        <v>155</v>
      </c>
      <c r="E18" s="24" t="s">
        <v>66</v>
      </c>
      <c r="F18" s="24"/>
      <c r="G18" s="24" t="s">
        <v>49</v>
      </c>
      <c r="H18" s="24" t="s">
        <v>49</v>
      </c>
      <c r="I18" s="24" t="s">
        <v>49</v>
      </c>
      <c r="J18" s="32" t="s">
        <v>49</v>
      </c>
      <c r="K18" s="32" t="s">
        <v>49</v>
      </c>
    </row>
    <row r="19" spans="2:13" x14ac:dyDescent="0.25">
      <c r="B19" s="62" t="s">
        <v>244</v>
      </c>
      <c r="C19" s="63" t="s">
        <v>245</v>
      </c>
      <c r="D19" s="63" t="s">
        <v>282</v>
      </c>
      <c r="E19" s="63" t="s">
        <v>66</v>
      </c>
      <c r="F19" s="63"/>
      <c r="G19" s="63"/>
      <c r="H19" s="63"/>
      <c r="I19" s="63" t="s">
        <v>49</v>
      </c>
      <c r="J19" s="64" t="s">
        <v>49</v>
      </c>
      <c r="K19" s="64" t="s">
        <v>49</v>
      </c>
    </row>
    <row r="20" spans="2:13" x14ac:dyDescent="0.25">
      <c r="B20" s="59" t="s">
        <v>248</v>
      </c>
      <c r="C20" s="28" t="s">
        <v>157</v>
      </c>
      <c r="D20" s="27" t="s">
        <v>158</v>
      </c>
      <c r="E20" s="27" t="s">
        <v>66</v>
      </c>
      <c r="F20" s="116" t="s">
        <v>49</v>
      </c>
      <c r="G20" s="28"/>
      <c r="H20" s="28" t="s">
        <v>49</v>
      </c>
      <c r="I20" s="28" t="s">
        <v>49</v>
      </c>
      <c r="J20" s="49" t="s">
        <v>49</v>
      </c>
      <c r="K20" s="49" t="s">
        <v>49</v>
      </c>
    </row>
    <row r="21" spans="2:13" x14ac:dyDescent="0.25">
      <c r="B21" s="65" t="s">
        <v>335</v>
      </c>
      <c r="C21" s="28" t="s">
        <v>157</v>
      </c>
      <c r="D21" s="66" t="s">
        <v>336</v>
      </c>
      <c r="E21" s="66" t="s">
        <v>66</v>
      </c>
      <c r="F21" s="116" t="s">
        <v>49</v>
      </c>
      <c r="G21" s="31"/>
      <c r="H21" s="31" t="s">
        <v>49</v>
      </c>
      <c r="I21" s="31" t="s">
        <v>49</v>
      </c>
      <c r="J21" s="67" t="s">
        <v>49</v>
      </c>
      <c r="K21" s="67" t="s">
        <v>49</v>
      </c>
    </row>
    <row r="22" spans="2:13" x14ac:dyDescent="0.25">
      <c r="B22" s="99" t="s">
        <v>254</v>
      </c>
      <c r="C22" s="100" t="s">
        <v>245</v>
      </c>
      <c r="D22" s="101" t="s">
        <v>281</v>
      </c>
      <c r="E22" s="101"/>
      <c r="F22" s="100"/>
      <c r="G22" s="100"/>
      <c r="H22" s="100"/>
      <c r="I22" s="100"/>
      <c r="J22" s="102" t="s">
        <v>49</v>
      </c>
      <c r="K22" s="102" t="s">
        <v>49</v>
      </c>
      <c r="L22" s="103"/>
      <c r="M22" s="103"/>
    </row>
    <row r="23" spans="2:13" x14ac:dyDescent="0.25">
      <c r="B23" s="58" t="s">
        <v>75</v>
      </c>
      <c r="C23" s="45">
        <v>5000072</v>
      </c>
      <c r="D23" s="45" t="s">
        <v>158</v>
      </c>
      <c r="E23" s="45" t="s">
        <v>66</v>
      </c>
      <c r="F23" s="45"/>
      <c r="G23" s="45"/>
      <c r="H23" s="45"/>
      <c r="I23" s="45"/>
      <c r="J23" s="54" t="s">
        <v>49</v>
      </c>
      <c r="K23" s="54" t="s">
        <v>49</v>
      </c>
    </row>
    <row r="24" spans="2:13" x14ac:dyDescent="0.25">
      <c r="B24" s="55" t="s">
        <v>258</v>
      </c>
      <c r="C24" s="51" t="s">
        <v>85</v>
      </c>
      <c r="D24" s="56">
        <v>1</v>
      </c>
      <c r="E24" s="56" t="s">
        <v>71</v>
      </c>
      <c r="F24" s="51" t="s">
        <v>49</v>
      </c>
      <c r="G24" s="51" t="s">
        <v>49</v>
      </c>
      <c r="H24" s="51" t="s">
        <v>49</v>
      </c>
      <c r="I24" s="51" t="s">
        <v>49</v>
      </c>
      <c r="J24" s="52" t="s">
        <v>49</v>
      </c>
      <c r="K24" s="52" t="s">
        <v>49</v>
      </c>
    </row>
    <row r="25" spans="2:13" ht="16.5" thickBot="1" x14ac:dyDescent="0.3">
      <c r="B25" s="30" t="s">
        <v>259</v>
      </c>
      <c r="C25" s="5" t="s">
        <v>70</v>
      </c>
      <c r="D25" s="5" t="s">
        <v>320</v>
      </c>
      <c r="E25" s="5" t="s">
        <v>71</v>
      </c>
      <c r="F25" s="5" t="s">
        <v>49</v>
      </c>
      <c r="G25" s="5" t="s">
        <v>49</v>
      </c>
      <c r="H25" s="5" t="s">
        <v>49</v>
      </c>
      <c r="I25" s="5" t="s">
        <v>49</v>
      </c>
      <c r="J25" s="6" t="s">
        <v>49</v>
      </c>
      <c r="K25" s="6" t="s">
        <v>49</v>
      </c>
    </row>
    <row r="26" spans="2:13" x14ac:dyDescent="0.25">
      <c r="F26" s="1" t="s">
        <v>202</v>
      </c>
    </row>
    <row r="27" spans="2:13" x14ac:dyDescent="0.25">
      <c r="C27"/>
      <c r="D27"/>
      <c r="E27"/>
      <c r="F27" t="s">
        <v>203</v>
      </c>
      <c r="G27"/>
      <c r="H27"/>
      <c r="I27"/>
      <c r="J27"/>
      <c r="K27"/>
    </row>
    <row r="28" spans="2:13" x14ac:dyDescent="0.25">
      <c r="B28" s="36" t="s">
        <v>77</v>
      </c>
      <c r="C28" s="21" t="s">
        <v>78</v>
      </c>
      <c r="D28"/>
      <c r="E28"/>
      <c r="F28" s="122" t="s">
        <v>204</v>
      </c>
      <c r="G28" s="105" t="s">
        <v>309</v>
      </c>
      <c r="H28"/>
      <c r="I28"/>
      <c r="J28"/>
      <c r="K28"/>
    </row>
    <row r="29" spans="2:13" x14ac:dyDescent="0.25">
      <c r="B29" s="36" t="s">
        <v>260</v>
      </c>
      <c r="C29" s="28" t="s">
        <v>261</v>
      </c>
      <c r="D29" s="26" t="s">
        <v>262</v>
      </c>
      <c r="E29"/>
      <c r="F29" s="122"/>
      <c r="G29" s="105"/>
      <c r="H29"/>
      <c r="I29"/>
      <c r="J29"/>
      <c r="K29"/>
    </row>
    <row r="30" spans="2:13" x14ac:dyDescent="0.25">
      <c r="B30" s="36" t="s">
        <v>170</v>
      </c>
      <c r="C30" s="28" t="s">
        <v>261</v>
      </c>
      <c r="D30" s="31" t="s">
        <v>171</v>
      </c>
      <c r="E30"/>
      <c r="F30"/>
      <c r="G30"/>
      <c r="H30"/>
      <c r="I30"/>
      <c r="J30"/>
      <c r="K30"/>
    </row>
    <row r="31" spans="2:13" x14ac:dyDescent="0.25">
      <c r="B31" s="36" t="s">
        <v>263</v>
      </c>
      <c r="C31" s="29" t="s">
        <v>264</v>
      </c>
      <c r="D31"/>
      <c r="E31"/>
      <c r="F31"/>
      <c r="G31"/>
      <c r="H31"/>
      <c r="I31"/>
      <c r="J31"/>
      <c r="K31"/>
    </row>
    <row r="32" spans="2:13" x14ac:dyDescent="0.25">
      <c r="B32" s="36" t="s">
        <v>80</v>
      </c>
      <c r="C32" s="24" t="s">
        <v>74</v>
      </c>
      <c r="D32"/>
      <c r="E32"/>
      <c r="F32"/>
      <c r="G32"/>
      <c r="H32"/>
      <c r="I32"/>
      <c r="J32"/>
      <c r="K32"/>
    </row>
    <row r="33" spans="2:11" x14ac:dyDescent="0.25">
      <c r="B33" s="36" t="s">
        <v>83</v>
      </c>
      <c r="C33" s="45">
        <v>5000072</v>
      </c>
      <c r="D33"/>
      <c r="E33"/>
      <c r="F33"/>
      <c r="G33"/>
      <c r="H33"/>
      <c r="I33"/>
      <c r="J33"/>
      <c r="K33"/>
    </row>
    <row r="34" spans="2:11" x14ac:dyDescent="0.25">
      <c r="B34" s="36" t="s">
        <v>84</v>
      </c>
      <c r="C34" s="51" t="s">
        <v>85</v>
      </c>
      <c r="D34"/>
      <c r="E34"/>
      <c r="F34"/>
      <c r="G34"/>
      <c r="H34"/>
      <c r="I34"/>
      <c r="J34"/>
      <c r="K34"/>
    </row>
    <row r="35" spans="2:11" x14ac:dyDescent="0.25">
      <c r="B35" s="36"/>
    </row>
  </sheetData>
  <mergeCells count="7">
    <mergeCell ref="B2:K2"/>
    <mergeCell ref="L3:L4"/>
    <mergeCell ref="C3:C4"/>
    <mergeCell ref="D3:D4"/>
    <mergeCell ref="E3:E4"/>
    <mergeCell ref="B3:B4"/>
    <mergeCell ref="F3:K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12AF-CE28-45F6-80FA-64694222446E}">
  <dimension ref="B1:N36"/>
  <sheetViews>
    <sheetView zoomScaleNormal="100" workbookViewId="0">
      <selection activeCell="C19" sqref="C19"/>
    </sheetView>
  </sheetViews>
  <sheetFormatPr defaultColWidth="11" defaultRowHeight="15.75" x14ac:dyDescent="0.25"/>
  <cols>
    <col min="2" max="2" width="40.75" bestFit="1" customWidth="1"/>
    <col min="6" max="7" width="7.625" customWidth="1"/>
    <col min="8" max="8" width="7.375" customWidth="1"/>
    <col min="9" max="9" width="8" customWidth="1"/>
    <col min="10" max="10" width="7.875" customWidth="1"/>
    <col min="11" max="11" width="8" customWidth="1"/>
    <col min="19" max="19" width="40.25" bestFit="1" customWidth="1"/>
  </cols>
  <sheetData>
    <row r="1" spans="2:14" ht="16.5" thickBot="1" x14ac:dyDescent="0.3"/>
    <row r="2" spans="2:14" ht="32.25" thickBot="1" x14ac:dyDescent="0.55000000000000004">
      <c r="B2" s="211" t="s">
        <v>337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4" ht="16.149999999999999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6"/>
      <c r="K3" s="227"/>
      <c r="L3" s="214" t="s">
        <v>114</v>
      </c>
    </row>
    <row r="4" spans="2:14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4" x14ac:dyDescent="0.25">
      <c r="B5" s="77" t="s">
        <v>47</v>
      </c>
      <c r="C5" s="78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96" t="s">
        <v>49</v>
      </c>
      <c r="K5" s="96" t="s">
        <v>49</v>
      </c>
      <c r="L5" s="25" t="s">
        <v>140</v>
      </c>
    </row>
    <row r="6" spans="2:14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47" t="s">
        <v>49</v>
      </c>
      <c r="K6" s="47" t="s">
        <v>49</v>
      </c>
      <c r="L6" s="25" t="s">
        <v>89</v>
      </c>
    </row>
    <row r="7" spans="2:14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47" t="s">
        <v>49</v>
      </c>
      <c r="K7" s="47" t="s">
        <v>49</v>
      </c>
      <c r="L7" s="25" t="s">
        <v>92</v>
      </c>
    </row>
    <row r="8" spans="2:14" x14ac:dyDescent="0.25">
      <c r="B8" s="60" t="s">
        <v>338</v>
      </c>
      <c r="C8" s="25" t="s">
        <v>115</v>
      </c>
      <c r="D8" s="25">
        <v>1</v>
      </c>
      <c r="E8" s="25"/>
      <c r="F8" s="25"/>
      <c r="G8" s="25" t="s">
        <v>49</v>
      </c>
      <c r="H8" s="25" t="s">
        <v>49</v>
      </c>
      <c r="I8" s="25" t="s">
        <v>49</v>
      </c>
      <c r="J8" s="47" t="s">
        <v>49</v>
      </c>
      <c r="K8" s="47" t="s">
        <v>49</v>
      </c>
      <c r="L8" s="25" t="s">
        <v>339</v>
      </c>
    </row>
    <row r="9" spans="2:14" x14ac:dyDescent="0.25">
      <c r="B9" s="60" t="s">
        <v>52</v>
      </c>
      <c r="C9" s="25" t="s">
        <v>182</v>
      </c>
      <c r="D9" s="25">
        <v>1</v>
      </c>
      <c r="E9" s="25"/>
      <c r="F9" s="25"/>
      <c r="G9" s="25"/>
      <c r="H9" s="25" t="s">
        <v>49</v>
      </c>
      <c r="I9" s="25" t="s">
        <v>49</v>
      </c>
      <c r="J9" s="47" t="s">
        <v>49</v>
      </c>
      <c r="K9" s="47" t="s">
        <v>49</v>
      </c>
      <c r="L9" s="114"/>
    </row>
    <row r="10" spans="2:14" x14ac:dyDescent="0.25">
      <c r="B10" s="60" t="s">
        <v>54</v>
      </c>
      <c r="C10" s="25" t="s">
        <v>183</v>
      </c>
      <c r="D10" s="25">
        <v>1</v>
      </c>
      <c r="E10" s="25"/>
      <c r="F10" s="25"/>
      <c r="G10" s="25"/>
      <c r="H10" s="25"/>
      <c r="I10" s="25" t="s">
        <v>49</v>
      </c>
      <c r="J10" s="47" t="s">
        <v>49</v>
      </c>
      <c r="K10" s="47" t="s">
        <v>49</v>
      </c>
      <c r="L10" s="114"/>
    </row>
    <row r="11" spans="2:14" x14ac:dyDescent="0.25">
      <c r="B11" s="60" t="s">
        <v>238</v>
      </c>
      <c r="C11" s="25" t="s">
        <v>239</v>
      </c>
      <c r="D11" s="25">
        <v>1</v>
      </c>
      <c r="E11" s="25"/>
      <c r="F11" s="104" t="s">
        <v>49</v>
      </c>
      <c r="G11" s="25"/>
      <c r="H11" s="25" t="s">
        <v>49</v>
      </c>
      <c r="I11" s="25" t="s">
        <v>49</v>
      </c>
      <c r="J11" s="47" t="s">
        <v>49</v>
      </c>
      <c r="K11" s="47" t="s">
        <v>49</v>
      </c>
      <c r="L11" s="114"/>
    </row>
    <row r="12" spans="2:14" x14ac:dyDescent="0.25">
      <c r="B12" s="60" t="s">
        <v>240</v>
      </c>
      <c r="C12" s="25" t="s">
        <v>340</v>
      </c>
      <c r="D12" s="25">
        <v>1</v>
      </c>
      <c r="E12" s="25"/>
      <c r="F12" s="104" t="s">
        <v>49</v>
      </c>
      <c r="G12" s="25"/>
      <c r="H12" s="25" t="s">
        <v>49</v>
      </c>
      <c r="I12" s="25" t="s">
        <v>49</v>
      </c>
      <c r="J12" s="47" t="s">
        <v>49</v>
      </c>
      <c r="K12" s="47" t="s">
        <v>49</v>
      </c>
      <c r="L12" s="26" t="s">
        <v>290</v>
      </c>
      <c r="M12" s="119" t="s">
        <v>291</v>
      </c>
    </row>
    <row r="13" spans="2:14" x14ac:dyDescent="0.25">
      <c r="B13" s="60" t="s">
        <v>233</v>
      </c>
      <c r="C13" s="25" t="s">
        <v>326</v>
      </c>
      <c r="D13" s="25">
        <v>1</v>
      </c>
      <c r="E13" s="25"/>
      <c r="F13" s="25"/>
      <c r="G13" s="25"/>
      <c r="H13" s="25"/>
      <c r="I13" s="25"/>
      <c r="J13" s="47" t="s">
        <v>49</v>
      </c>
      <c r="K13" s="47" t="s">
        <v>49</v>
      </c>
      <c r="L13" s="114"/>
      <c r="N13" t="s">
        <v>341</v>
      </c>
    </row>
    <row r="14" spans="2:14" x14ac:dyDescent="0.25">
      <c r="B14" s="109" t="s">
        <v>327</v>
      </c>
      <c r="C14" s="25" t="s">
        <v>328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47" t="s">
        <v>49</v>
      </c>
      <c r="K14" s="47" t="s">
        <v>49</v>
      </c>
      <c r="L14" s="114"/>
    </row>
    <row r="15" spans="2:14" x14ac:dyDescent="0.25">
      <c r="B15" s="109" t="s">
        <v>292</v>
      </c>
      <c r="C15" s="25" t="s">
        <v>329</v>
      </c>
      <c r="D15" s="25">
        <v>1</v>
      </c>
      <c r="E15" s="25"/>
      <c r="F15" s="25"/>
      <c r="G15" s="25"/>
      <c r="H15" s="25" t="s">
        <v>49</v>
      </c>
      <c r="I15" s="25" t="s">
        <v>49</v>
      </c>
      <c r="J15" s="47" t="s">
        <v>49</v>
      </c>
      <c r="K15" s="47" t="s">
        <v>49</v>
      </c>
      <c r="L15" s="114"/>
    </row>
    <row r="16" spans="2:14" x14ac:dyDescent="0.25">
      <c r="B16" s="109" t="s">
        <v>294</v>
      </c>
      <c r="C16" s="25" t="s">
        <v>342</v>
      </c>
      <c r="D16" s="25">
        <v>1</v>
      </c>
      <c r="E16" s="25"/>
      <c r="F16" s="25"/>
      <c r="G16" s="25"/>
      <c r="H16" s="25" t="s">
        <v>49</v>
      </c>
      <c r="I16" s="25" t="s">
        <v>49</v>
      </c>
      <c r="J16" s="47" t="s">
        <v>49</v>
      </c>
      <c r="K16" s="47" t="s">
        <v>49</v>
      </c>
      <c r="L16" s="114"/>
    </row>
    <row r="17" spans="2:12" x14ac:dyDescent="0.25">
      <c r="B17" s="128" t="s">
        <v>331</v>
      </c>
      <c r="C17" s="14" t="s">
        <v>332</v>
      </c>
      <c r="D17" s="34">
        <v>1</v>
      </c>
      <c r="E17" s="34"/>
      <c r="F17" s="34"/>
      <c r="G17" s="34"/>
      <c r="H17" s="34"/>
      <c r="I17" s="34"/>
      <c r="J17" s="129"/>
      <c r="K17" s="129" t="s">
        <v>49</v>
      </c>
      <c r="L17" s="14" t="s">
        <v>333</v>
      </c>
    </row>
    <row r="18" spans="2:12" x14ac:dyDescent="0.25">
      <c r="B18" s="57" t="s">
        <v>67</v>
      </c>
      <c r="C18" s="21" t="s">
        <v>68</v>
      </c>
      <c r="D18" s="21" t="s">
        <v>343</v>
      </c>
      <c r="E18" s="21" t="s">
        <v>66</v>
      </c>
      <c r="F18" s="21"/>
      <c r="G18" s="21"/>
      <c r="H18" s="21"/>
      <c r="I18" s="21"/>
      <c r="J18" s="39" t="s">
        <v>49</v>
      </c>
      <c r="K18" s="39" t="s">
        <v>49</v>
      </c>
    </row>
    <row r="19" spans="2:12" x14ac:dyDescent="0.25">
      <c r="B19" s="33" t="s">
        <v>64</v>
      </c>
      <c r="C19" s="24" t="s">
        <v>65</v>
      </c>
      <c r="D19" s="24" t="s">
        <v>155</v>
      </c>
      <c r="E19" s="24" t="s">
        <v>66</v>
      </c>
      <c r="F19" s="24"/>
      <c r="G19" s="24" t="s">
        <v>49</v>
      </c>
      <c r="H19" s="24" t="s">
        <v>49</v>
      </c>
      <c r="I19" s="24" t="s">
        <v>49</v>
      </c>
      <c r="J19" s="32" t="s">
        <v>49</v>
      </c>
      <c r="K19" s="32" t="s">
        <v>49</v>
      </c>
    </row>
    <row r="20" spans="2:12" x14ac:dyDescent="0.25">
      <c r="B20" s="62" t="s">
        <v>244</v>
      </c>
      <c r="C20" s="63" t="s">
        <v>245</v>
      </c>
      <c r="D20" s="63" t="s">
        <v>282</v>
      </c>
      <c r="E20" s="63" t="s">
        <v>66</v>
      </c>
      <c r="F20" s="63"/>
      <c r="G20" s="63"/>
      <c r="H20" s="63"/>
      <c r="I20" s="63" t="s">
        <v>49</v>
      </c>
      <c r="J20" s="64" t="s">
        <v>49</v>
      </c>
      <c r="K20" s="64" t="s">
        <v>49</v>
      </c>
    </row>
    <row r="21" spans="2:12" x14ac:dyDescent="0.25">
      <c r="B21" s="26" t="s">
        <v>248</v>
      </c>
      <c r="C21" s="26" t="s">
        <v>249</v>
      </c>
      <c r="D21" s="26" t="s">
        <v>158</v>
      </c>
      <c r="E21" s="26" t="s">
        <v>66</v>
      </c>
      <c r="F21" s="26" t="s">
        <v>49</v>
      </c>
      <c r="G21" s="26"/>
      <c r="H21" s="26" t="s">
        <v>49</v>
      </c>
      <c r="I21" s="26" t="s">
        <v>49</v>
      </c>
      <c r="J21" s="26" t="s">
        <v>49</v>
      </c>
      <c r="K21" s="26" t="s">
        <v>49</v>
      </c>
    </row>
    <row r="22" spans="2:12" x14ac:dyDescent="0.25">
      <c r="B22" s="65" t="s">
        <v>335</v>
      </c>
      <c r="C22" s="28" t="s">
        <v>157</v>
      </c>
      <c r="D22" s="66" t="s">
        <v>336</v>
      </c>
      <c r="E22" s="66" t="s">
        <v>66</v>
      </c>
      <c r="F22" s="116" t="s">
        <v>49</v>
      </c>
      <c r="G22" s="31"/>
      <c r="H22" s="31" t="s">
        <v>49</v>
      </c>
      <c r="I22" s="31" t="s">
        <v>49</v>
      </c>
      <c r="J22" s="67" t="s">
        <v>49</v>
      </c>
      <c r="K22" s="67" t="s">
        <v>49</v>
      </c>
    </row>
    <row r="23" spans="2:12" x14ac:dyDescent="0.25">
      <c r="B23" s="99" t="s">
        <v>254</v>
      </c>
      <c r="C23" s="100" t="s">
        <v>245</v>
      </c>
      <c r="D23" s="101" t="s">
        <v>281</v>
      </c>
      <c r="E23" s="101"/>
      <c r="F23" s="100"/>
      <c r="G23" s="100"/>
      <c r="H23" s="100"/>
      <c r="I23" s="100"/>
      <c r="J23" s="102" t="s">
        <v>49</v>
      </c>
      <c r="K23" s="102" t="s">
        <v>49</v>
      </c>
      <c r="L23" s="103"/>
    </row>
    <row r="24" spans="2:12" x14ac:dyDescent="0.25">
      <c r="B24" s="58" t="s">
        <v>75</v>
      </c>
      <c r="C24" s="45">
        <v>5000072</v>
      </c>
      <c r="D24" s="45" t="s">
        <v>158</v>
      </c>
      <c r="E24" s="45" t="s">
        <v>66</v>
      </c>
      <c r="F24" s="45"/>
      <c r="G24" s="45"/>
      <c r="H24" s="45"/>
      <c r="I24" s="45"/>
      <c r="J24" s="54" t="s">
        <v>49</v>
      </c>
      <c r="K24" s="54" t="s">
        <v>49</v>
      </c>
    </row>
    <row r="25" spans="2:12" x14ac:dyDescent="0.25">
      <c r="B25" s="55" t="s">
        <v>258</v>
      </c>
      <c r="C25" s="51" t="s">
        <v>85</v>
      </c>
      <c r="D25" s="56">
        <v>1</v>
      </c>
      <c r="E25" s="56" t="s">
        <v>71</v>
      </c>
      <c r="F25" s="51" t="s">
        <v>49</v>
      </c>
      <c r="G25" s="51" t="s">
        <v>49</v>
      </c>
      <c r="H25" s="51" t="s">
        <v>49</v>
      </c>
      <c r="I25" s="51" t="s">
        <v>49</v>
      </c>
      <c r="J25" s="52" t="s">
        <v>49</v>
      </c>
      <c r="K25" s="52" t="s">
        <v>49</v>
      </c>
    </row>
    <row r="26" spans="2:12" ht="16.5" thickBot="1" x14ac:dyDescent="0.3">
      <c r="B26" s="30" t="s">
        <v>259</v>
      </c>
      <c r="C26" s="5" t="s">
        <v>70</v>
      </c>
      <c r="D26" s="5" t="s">
        <v>320</v>
      </c>
      <c r="E26" s="5" t="s">
        <v>71</v>
      </c>
      <c r="F26" s="5" t="s">
        <v>49</v>
      </c>
      <c r="G26" s="5" t="s">
        <v>49</v>
      </c>
      <c r="H26" s="5" t="s">
        <v>49</v>
      </c>
      <c r="I26" s="5" t="s">
        <v>49</v>
      </c>
      <c r="J26" s="6" t="s">
        <v>49</v>
      </c>
      <c r="K26" s="6" t="s">
        <v>49</v>
      </c>
    </row>
    <row r="27" spans="2:12" x14ac:dyDescent="0.25">
      <c r="C27" s="1"/>
      <c r="D27" s="1"/>
      <c r="E27" s="1"/>
      <c r="F27" s="1" t="s">
        <v>202</v>
      </c>
      <c r="G27" s="1"/>
      <c r="H27" s="1"/>
      <c r="I27" s="1"/>
      <c r="J27" s="1"/>
      <c r="K27" s="1"/>
    </row>
    <row r="28" spans="2:12" x14ac:dyDescent="0.25">
      <c r="F28" t="s">
        <v>203</v>
      </c>
    </row>
    <row r="29" spans="2:12" x14ac:dyDescent="0.25">
      <c r="B29" s="36" t="s">
        <v>77</v>
      </c>
      <c r="C29" s="21" t="s">
        <v>78</v>
      </c>
      <c r="F29" s="122" t="s">
        <v>204</v>
      </c>
      <c r="G29" s="105" t="s">
        <v>309</v>
      </c>
    </row>
    <row r="30" spans="2:12" x14ac:dyDescent="0.25">
      <c r="B30" s="36" t="s">
        <v>260</v>
      </c>
      <c r="C30" s="27" t="s">
        <v>344</v>
      </c>
      <c r="D30" s="27" t="s">
        <v>261</v>
      </c>
      <c r="E30" s="27" t="s">
        <v>262</v>
      </c>
      <c r="F30" s="122"/>
      <c r="G30" s="105"/>
    </row>
    <row r="31" spans="2:12" x14ac:dyDescent="0.25">
      <c r="B31" s="36" t="s">
        <v>170</v>
      </c>
      <c r="C31" s="27" t="s">
        <v>344</v>
      </c>
      <c r="D31" s="28" t="s">
        <v>261</v>
      </c>
      <c r="E31" s="28" t="s">
        <v>171</v>
      </c>
    </row>
    <row r="32" spans="2:12" x14ac:dyDescent="0.25">
      <c r="B32" s="36" t="s">
        <v>263</v>
      </c>
      <c r="C32" s="29" t="s">
        <v>245</v>
      </c>
      <c r="D32" s="29" t="s">
        <v>264</v>
      </c>
    </row>
    <row r="33" spans="2:11" x14ac:dyDescent="0.25">
      <c r="B33" s="36" t="s">
        <v>80</v>
      </c>
      <c r="C33" s="24" t="s">
        <v>74</v>
      </c>
    </row>
    <row r="34" spans="2:11" x14ac:dyDescent="0.25">
      <c r="B34" s="36" t="s">
        <v>83</v>
      </c>
      <c r="C34" s="45">
        <v>5000072</v>
      </c>
    </row>
    <row r="35" spans="2:11" x14ac:dyDescent="0.25">
      <c r="B35" s="36" t="s">
        <v>84</v>
      </c>
      <c r="C35" s="51" t="s">
        <v>85</v>
      </c>
    </row>
    <row r="36" spans="2:11" x14ac:dyDescent="0.25">
      <c r="B36" s="36" t="s">
        <v>266</v>
      </c>
      <c r="C36" s="1"/>
      <c r="D36" s="1"/>
      <c r="E36" s="1"/>
      <c r="F36" s="1"/>
      <c r="G36" s="1"/>
      <c r="H36" s="1"/>
      <c r="I36" s="1"/>
      <c r="J36" s="1"/>
      <c r="K36" s="1"/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CFEE-02B3-4FE7-9883-D171489226C3}">
  <dimension ref="B1:L33"/>
  <sheetViews>
    <sheetView workbookViewId="0">
      <selection activeCell="C16" sqref="C16"/>
    </sheetView>
  </sheetViews>
  <sheetFormatPr defaultColWidth="11" defaultRowHeight="15.75" x14ac:dyDescent="0.25"/>
  <cols>
    <col min="2" max="2" width="40.75" bestFit="1" customWidth="1"/>
    <col min="6" max="6" width="7.5" customWidth="1"/>
    <col min="7" max="7" width="7.125" customWidth="1"/>
    <col min="8" max="9" width="7.625" customWidth="1"/>
    <col min="10" max="10" width="8" customWidth="1"/>
    <col min="11" max="11" width="7.75" customWidth="1"/>
    <col min="12" max="12" width="11.875" customWidth="1"/>
  </cols>
  <sheetData>
    <row r="1" spans="2:12" ht="16.5" thickBot="1" x14ac:dyDescent="0.3"/>
    <row r="2" spans="2:12" ht="32.25" thickBot="1" x14ac:dyDescent="0.55000000000000004">
      <c r="B2" s="211" t="s">
        <v>345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6"/>
      <c r="K3" s="227"/>
      <c r="L3" s="214" t="s">
        <v>114</v>
      </c>
    </row>
    <row r="4" spans="2:12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2" x14ac:dyDescent="0.25">
      <c r="B5" s="77" t="s">
        <v>47</v>
      </c>
      <c r="C5" s="78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96" t="s">
        <v>49</v>
      </c>
      <c r="K5" s="96" t="s">
        <v>49</v>
      </c>
      <c r="L5" s="25" t="s">
        <v>140</v>
      </c>
    </row>
    <row r="6" spans="2:12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47" t="s">
        <v>49</v>
      </c>
      <c r="K6" s="47" t="s">
        <v>49</v>
      </c>
      <c r="L6" s="25" t="s">
        <v>89</v>
      </c>
    </row>
    <row r="7" spans="2:12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47" t="s">
        <v>49</v>
      </c>
      <c r="K7" s="47" t="s">
        <v>49</v>
      </c>
      <c r="L7" s="25" t="s">
        <v>92</v>
      </c>
    </row>
    <row r="8" spans="2:12" x14ac:dyDescent="0.25">
      <c r="B8" s="60" t="s">
        <v>52</v>
      </c>
      <c r="C8" s="25" t="s">
        <v>182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47" t="s">
        <v>49</v>
      </c>
      <c r="K8" s="47" t="s">
        <v>49</v>
      </c>
      <c r="L8" s="114"/>
    </row>
    <row r="9" spans="2:12" x14ac:dyDescent="0.25">
      <c r="B9" s="60" t="s">
        <v>54</v>
      </c>
      <c r="C9" s="25" t="s">
        <v>183</v>
      </c>
      <c r="D9" s="25">
        <v>1</v>
      </c>
      <c r="E9" s="25"/>
      <c r="F9" s="25"/>
      <c r="G9" s="25"/>
      <c r="H9" s="25"/>
      <c r="I9" s="25" t="s">
        <v>49</v>
      </c>
      <c r="J9" s="47" t="s">
        <v>49</v>
      </c>
      <c r="K9" s="47" t="s">
        <v>49</v>
      </c>
      <c r="L9" s="114"/>
    </row>
    <row r="10" spans="2:12" x14ac:dyDescent="0.25">
      <c r="B10" s="60" t="s">
        <v>238</v>
      </c>
      <c r="C10" s="25" t="s">
        <v>239</v>
      </c>
      <c r="D10" s="25">
        <v>1</v>
      </c>
      <c r="E10" s="25"/>
      <c r="F10" s="104" t="s">
        <v>49</v>
      </c>
      <c r="G10" s="25"/>
      <c r="H10" s="25" t="s">
        <v>49</v>
      </c>
      <c r="I10" s="25" t="s">
        <v>49</v>
      </c>
      <c r="J10" s="47" t="s">
        <v>49</v>
      </c>
      <c r="K10" s="47" t="s">
        <v>49</v>
      </c>
      <c r="L10" s="114"/>
    </row>
    <row r="11" spans="2:12" x14ac:dyDescent="0.25">
      <c r="B11" s="60" t="s">
        <v>240</v>
      </c>
      <c r="C11" s="25" t="s">
        <v>346</v>
      </c>
      <c r="D11" s="25">
        <v>1</v>
      </c>
      <c r="E11" s="25"/>
      <c r="F11" s="104" t="s">
        <v>49</v>
      </c>
      <c r="G11" s="25"/>
      <c r="H11" s="25" t="s">
        <v>49</v>
      </c>
      <c r="I11" s="25" t="s">
        <v>49</v>
      </c>
      <c r="J11" s="47" t="s">
        <v>49</v>
      </c>
      <c r="K11" s="47" t="s">
        <v>49</v>
      </c>
      <c r="L11" s="26" t="s">
        <v>290</v>
      </c>
    </row>
    <row r="12" spans="2:12" x14ac:dyDescent="0.25">
      <c r="B12" s="60" t="s">
        <v>233</v>
      </c>
      <c r="C12" s="119" t="s">
        <v>347</v>
      </c>
      <c r="D12" s="25">
        <v>1</v>
      </c>
      <c r="E12" s="25"/>
      <c r="F12" s="25"/>
      <c r="G12" s="25"/>
      <c r="H12" s="25"/>
      <c r="I12" s="25"/>
      <c r="J12" s="47" t="s">
        <v>49</v>
      </c>
      <c r="K12" s="47" t="s">
        <v>49</v>
      </c>
    </row>
    <row r="13" spans="2:12" x14ac:dyDescent="0.25">
      <c r="B13" s="109" t="s">
        <v>292</v>
      </c>
      <c r="C13" s="25" t="s">
        <v>329</v>
      </c>
      <c r="D13" s="25">
        <v>1</v>
      </c>
      <c r="E13" s="25"/>
      <c r="F13" s="25"/>
      <c r="G13" s="25"/>
      <c r="H13" s="25" t="s">
        <v>49</v>
      </c>
      <c r="I13" s="25" t="s">
        <v>49</v>
      </c>
      <c r="J13" s="47" t="s">
        <v>49</v>
      </c>
      <c r="K13" s="47" t="s">
        <v>49</v>
      </c>
    </row>
    <row r="14" spans="2:12" x14ac:dyDescent="0.25">
      <c r="B14" s="128" t="s">
        <v>331</v>
      </c>
      <c r="C14" s="14" t="s">
        <v>332</v>
      </c>
      <c r="D14" s="34">
        <v>1</v>
      </c>
      <c r="E14" s="34"/>
      <c r="F14" s="34"/>
      <c r="G14" s="34"/>
      <c r="H14" s="34"/>
      <c r="I14" s="34"/>
      <c r="J14" s="129"/>
      <c r="K14" s="129" t="s">
        <v>49</v>
      </c>
      <c r="L14" s="14" t="s">
        <v>333</v>
      </c>
    </row>
    <row r="15" spans="2:12" x14ac:dyDescent="0.25">
      <c r="B15" s="57" t="s">
        <v>67</v>
      </c>
      <c r="C15" s="21" t="s">
        <v>68</v>
      </c>
      <c r="D15" s="21" t="s">
        <v>343</v>
      </c>
      <c r="E15" s="21" t="s">
        <v>66</v>
      </c>
      <c r="F15" s="21"/>
      <c r="G15" s="21"/>
      <c r="H15" s="21"/>
      <c r="I15" s="21"/>
      <c r="J15" s="39" t="s">
        <v>49</v>
      </c>
      <c r="K15" s="39" t="s">
        <v>49</v>
      </c>
    </row>
    <row r="16" spans="2:12" x14ac:dyDescent="0.25">
      <c r="B16" s="33" t="s">
        <v>64</v>
      </c>
      <c r="C16" s="24" t="s">
        <v>65</v>
      </c>
      <c r="D16" s="24" t="s">
        <v>155</v>
      </c>
      <c r="E16" s="24" t="s">
        <v>66</v>
      </c>
      <c r="F16" s="24"/>
      <c r="G16" s="24" t="s">
        <v>49</v>
      </c>
      <c r="H16" s="24" t="s">
        <v>49</v>
      </c>
      <c r="I16" s="24" t="s">
        <v>49</v>
      </c>
      <c r="J16" s="32" t="s">
        <v>49</v>
      </c>
      <c r="K16" s="32" t="s">
        <v>49</v>
      </c>
    </row>
    <row r="17" spans="2:11" x14ac:dyDescent="0.25">
      <c r="B17" s="62" t="s">
        <v>244</v>
      </c>
      <c r="C17" s="63" t="s">
        <v>245</v>
      </c>
      <c r="D17" s="63" t="s">
        <v>282</v>
      </c>
      <c r="E17" s="63" t="s">
        <v>66</v>
      </c>
      <c r="F17" s="63"/>
      <c r="G17" s="63"/>
      <c r="H17" s="63"/>
      <c r="I17" s="63" t="s">
        <v>49</v>
      </c>
      <c r="J17" s="64" t="s">
        <v>49</v>
      </c>
      <c r="K17" s="64" t="s">
        <v>49</v>
      </c>
    </row>
    <row r="18" spans="2:11" x14ac:dyDescent="0.25">
      <c r="B18" s="26" t="s">
        <v>248</v>
      </c>
      <c r="C18" s="26" t="s">
        <v>249</v>
      </c>
      <c r="D18" s="26" t="s">
        <v>158</v>
      </c>
      <c r="E18" s="26" t="s">
        <v>66</v>
      </c>
      <c r="F18" s="26" t="s">
        <v>49</v>
      </c>
      <c r="G18" s="26"/>
      <c r="H18" s="26" t="s">
        <v>49</v>
      </c>
      <c r="I18" s="26" t="s">
        <v>49</v>
      </c>
      <c r="J18" s="26" t="s">
        <v>49</v>
      </c>
      <c r="K18" s="26" t="s">
        <v>49</v>
      </c>
    </row>
    <row r="19" spans="2:11" x14ac:dyDescent="0.25">
      <c r="B19" s="65" t="s">
        <v>335</v>
      </c>
      <c r="C19" s="28" t="s">
        <v>157</v>
      </c>
      <c r="D19" s="66" t="s">
        <v>336</v>
      </c>
      <c r="E19" s="66" t="s">
        <v>66</v>
      </c>
      <c r="F19" s="116" t="s">
        <v>49</v>
      </c>
      <c r="G19" s="31"/>
      <c r="H19" s="31" t="s">
        <v>49</v>
      </c>
      <c r="I19" s="31" t="s">
        <v>49</v>
      </c>
      <c r="J19" s="67" t="s">
        <v>49</v>
      </c>
      <c r="K19" s="67" t="s">
        <v>49</v>
      </c>
    </row>
    <row r="20" spans="2:11" x14ac:dyDescent="0.25">
      <c r="B20" s="99" t="s">
        <v>254</v>
      </c>
      <c r="C20" s="100" t="s">
        <v>245</v>
      </c>
      <c r="D20" s="101" t="s">
        <v>281</v>
      </c>
      <c r="E20" s="101"/>
      <c r="F20" s="100"/>
      <c r="G20" s="100"/>
      <c r="H20" s="100"/>
      <c r="I20" s="100"/>
      <c r="J20" s="102" t="s">
        <v>49</v>
      </c>
      <c r="K20" s="102" t="s">
        <v>49</v>
      </c>
    </row>
    <row r="21" spans="2:11" x14ac:dyDescent="0.25">
      <c r="B21" s="58" t="s">
        <v>75</v>
      </c>
      <c r="C21" s="45">
        <v>5000072</v>
      </c>
      <c r="D21" s="45" t="s">
        <v>158</v>
      </c>
      <c r="E21" s="45" t="s">
        <v>66</v>
      </c>
      <c r="F21" s="45"/>
      <c r="G21" s="45"/>
      <c r="H21" s="45"/>
      <c r="I21" s="45"/>
      <c r="J21" s="54" t="s">
        <v>49</v>
      </c>
      <c r="K21" s="54" t="s">
        <v>49</v>
      </c>
    </row>
    <row r="22" spans="2:11" x14ac:dyDescent="0.25">
      <c r="B22" s="55" t="s">
        <v>258</v>
      </c>
      <c r="C22" s="51" t="s">
        <v>85</v>
      </c>
      <c r="D22" s="56">
        <v>1</v>
      </c>
      <c r="E22" s="56" t="s">
        <v>71</v>
      </c>
      <c r="F22" s="51" t="s">
        <v>49</v>
      </c>
      <c r="G22" s="51" t="s">
        <v>49</v>
      </c>
      <c r="H22" s="51" t="s">
        <v>49</v>
      </c>
      <c r="I22" s="51" t="s">
        <v>49</v>
      </c>
      <c r="J22" s="52" t="s">
        <v>49</v>
      </c>
      <c r="K22" s="52" t="s">
        <v>49</v>
      </c>
    </row>
    <row r="23" spans="2:11" ht="16.5" thickBot="1" x14ac:dyDescent="0.3">
      <c r="B23" s="30" t="s">
        <v>259</v>
      </c>
      <c r="C23" s="5" t="s">
        <v>70</v>
      </c>
      <c r="D23" s="5" t="s">
        <v>320</v>
      </c>
      <c r="E23" s="5" t="s">
        <v>71</v>
      </c>
      <c r="F23" s="5" t="s">
        <v>49</v>
      </c>
      <c r="G23" s="5" t="s">
        <v>49</v>
      </c>
      <c r="H23" s="5" t="s">
        <v>49</v>
      </c>
      <c r="I23" s="5" t="s">
        <v>49</v>
      </c>
      <c r="J23" s="6" t="s">
        <v>49</v>
      </c>
      <c r="K23" s="6" t="s">
        <v>49</v>
      </c>
    </row>
    <row r="25" spans="2:11" x14ac:dyDescent="0.25">
      <c r="F25" t="s">
        <v>203</v>
      </c>
    </row>
    <row r="26" spans="2:11" x14ac:dyDescent="0.25">
      <c r="B26" s="36" t="s">
        <v>77</v>
      </c>
      <c r="C26" s="21" t="s">
        <v>78</v>
      </c>
      <c r="F26" s="122" t="s">
        <v>204</v>
      </c>
      <c r="G26" s="105" t="s">
        <v>309</v>
      </c>
    </row>
    <row r="27" spans="2:11" x14ac:dyDescent="0.25">
      <c r="B27" s="36" t="s">
        <v>260</v>
      </c>
      <c r="C27" s="26" t="s">
        <v>261</v>
      </c>
      <c r="D27" s="26" t="s">
        <v>262</v>
      </c>
      <c r="F27" s="122"/>
      <c r="G27" s="105"/>
    </row>
    <row r="28" spans="2:11" x14ac:dyDescent="0.25">
      <c r="B28" s="36" t="s">
        <v>170</v>
      </c>
      <c r="C28" s="28" t="s">
        <v>261</v>
      </c>
      <c r="D28" s="28" t="s">
        <v>171</v>
      </c>
    </row>
    <row r="29" spans="2:11" x14ac:dyDescent="0.25">
      <c r="B29" s="36" t="s">
        <v>263</v>
      </c>
      <c r="C29" s="29" t="s">
        <v>264</v>
      </c>
    </row>
    <row r="30" spans="2:11" x14ac:dyDescent="0.25">
      <c r="B30" s="36" t="s">
        <v>80</v>
      </c>
      <c r="C30" s="24" t="s">
        <v>74</v>
      </c>
    </row>
    <row r="31" spans="2:11" x14ac:dyDescent="0.25">
      <c r="B31" s="36" t="s">
        <v>83</v>
      </c>
      <c r="C31" s="45">
        <v>5000072</v>
      </c>
    </row>
    <row r="32" spans="2:11" x14ac:dyDescent="0.25">
      <c r="B32" s="36" t="s">
        <v>84</v>
      </c>
      <c r="C32" s="51" t="s">
        <v>85</v>
      </c>
    </row>
    <row r="33" spans="2:11" x14ac:dyDescent="0.25">
      <c r="B33" s="36" t="s">
        <v>266</v>
      </c>
      <c r="C33" s="1"/>
      <c r="D33" s="1"/>
      <c r="E33" s="1"/>
      <c r="F33" s="1"/>
      <c r="G33" s="1"/>
      <c r="H33" s="1"/>
      <c r="I33" s="1"/>
      <c r="J33" s="1"/>
      <c r="K33" s="1"/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4"/>
  <sheetViews>
    <sheetView zoomScaleNormal="100" workbookViewId="0">
      <selection activeCell="M18" sqref="M18"/>
    </sheetView>
  </sheetViews>
  <sheetFormatPr defaultColWidth="10.875" defaultRowHeight="15.75" x14ac:dyDescent="0.25"/>
  <cols>
    <col min="2" max="2" width="49.625" customWidth="1"/>
    <col min="3" max="3" width="12.375" style="1" customWidth="1"/>
    <col min="4" max="5" width="12.875" style="1" customWidth="1"/>
    <col min="6" max="10" width="6.125" style="1" customWidth="1"/>
    <col min="11" max="11" width="6.125" style="1" bestFit="1" customWidth="1"/>
    <col min="12" max="12" width="12.25" customWidth="1"/>
  </cols>
  <sheetData>
    <row r="1" spans="2:12" ht="16.5" thickBot="1" x14ac:dyDescent="0.3"/>
    <row r="2" spans="2:12" ht="32.25" thickBot="1" x14ac:dyDescent="0.55000000000000004">
      <c r="B2" s="211" t="s">
        <v>348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6"/>
      <c r="K3" s="227"/>
      <c r="L3" s="214" t="s">
        <v>114</v>
      </c>
    </row>
    <row r="4" spans="2:12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2" x14ac:dyDescent="0.25">
      <c r="B5" s="77" t="s">
        <v>47</v>
      </c>
      <c r="C5" s="78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97" t="s">
        <v>49</v>
      </c>
      <c r="K5" s="97" t="s">
        <v>49</v>
      </c>
      <c r="L5" s="114" t="s">
        <v>140</v>
      </c>
    </row>
    <row r="6" spans="2:12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69" t="s">
        <v>49</v>
      </c>
      <c r="K6" s="69" t="s">
        <v>49</v>
      </c>
      <c r="L6" s="114" t="s">
        <v>89</v>
      </c>
    </row>
    <row r="7" spans="2:12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69" t="s">
        <v>49</v>
      </c>
      <c r="K7" s="69" t="s">
        <v>49</v>
      </c>
      <c r="L7" s="25" t="s">
        <v>92</v>
      </c>
    </row>
    <row r="8" spans="2:12" x14ac:dyDescent="0.25">
      <c r="B8" s="60" t="s">
        <v>52</v>
      </c>
      <c r="C8" s="25" t="s">
        <v>182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69" t="s">
        <v>49</v>
      </c>
      <c r="K8" s="69" t="s">
        <v>49</v>
      </c>
      <c r="L8" s="114"/>
    </row>
    <row r="9" spans="2:12" x14ac:dyDescent="0.25">
      <c r="B9" s="60" t="s">
        <v>54</v>
      </c>
      <c r="C9" s="25" t="s">
        <v>183</v>
      </c>
      <c r="D9" s="25">
        <v>1</v>
      </c>
      <c r="E9" s="25"/>
      <c r="F9" s="25"/>
      <c r="G9" s="25"/>
      <c r="H9" s="25"/>
      <c r="I9" s="25" t="s">
        <v>49</v>
      </c>
      <c r="J9" s="69" t="s">
        <v>49</v>
      </c>
      <c r="K9" s="69" t="s">
        <v>49</v>
      </c>
      <c r="L9" s="114"/>
    </row>
    <row r="10" spans="2:12" x14ac:dyDescent="0.25">
      <c r="B10" s="60" t="s">
        <v>349</v>
      </c>
      <c r="C10" s="25" t="s">
        <v>350</v>
      </c>
      <c r="D10" s="25">
        <v>1</v>
      </c>
      <c r="E10" s="25"/>
      <c r="F10" s="25"/>
      <c r="G10" s="25"/>
      <c r="H10" s="25"/>
      <c r="I10" s="25" t="s">
        <v>49</v>
      </c>
      <c r="J10" s="69" t="s">
        <v>49</v>
      </c>
      <c r="K10" s="69" t="s">
        <v>49</v>
      </c>
      <c r="L10" s="114"/>
    </row>
    <row r="11" spans="2:12" x14ac:dyDescent="0.25">
      <c r="B11" s="60" t="s">
        <v>238</v>
      </c>
      <c r="C11" s="25" t="s">
        <v>351</v>
      </c>
      <c r="D11" s="25">
        <v>1</v>
      </c>
      <c r="E11" s="25"/>
      <c r="F11" s="104" t="s">
        <v>49</v>
      </c>
      <c r="G11" s="25"/>
      <c r="H11" s="25" t="s">
        <v>49</v>
      </c>
      <c r="I11" s="25" t="s">
        <v>49</v>
      </c>
      <c r="J11" s="69" t="s">
        <v>49</v>
      </c>
      <c r="K11" s="69" t="s">
        <v>49</v>
      </c>
      <c r="L11" s="114"/>
    </row>
    <row r="12" spans="2:12" x14ac:dyDescent="0.25">
      <c r="B12" s="60" t="s">
        <v>240</v>
      </c>
      <c r="C12" s="25" t="s">
        <v>291</v>
      </c>
      <c r="D12" s="25">
        <v>1</v>
      </c>
      <c r="E12" s="25"/>
      <c r="F12" s="104" t="s">
        <v>49</v>
      </c>
      <c r="G12" s="25"/>
      <c r="H12" s="25" t="s">
        <v>49</v>
      </c>
      <c r="I12" s="25" t="s">
        <v>49</v>
      </c>
      <c r="J12" s="69" t="s">
        <v>49</v>
      </c>
      <c r="K12" s="69" t="s">
        <v>49</v>
      </c>
      <c r="L12" s="26" t="s">
        <v>290</v>
      </c>
    </row>
    <row r="13" spans="2:12" x14ac:dyDescent="0.25">
      <c r="B13" s="109" t="s">
        <v>292</v>
      </c>
      <c r="C13" s="25" t="s">
        <v>329</v>
      </c>
      <c r="D13" s="25">
        <v>1</v>
      </c>
      <c r="E13" s="25"/>
      <c r="F13" s="25"/>
      <c r="G13" s="25"/>
      <c r="H13" s="25" t="s">
        <v>49</v>
      </c>
      <c r="I13" s="25" t="s">
        <v>49</v>
      </c>
      <c r="J13" s="69" t="s">
        <v>49</v>
      </c>
      <c r="K13" s="69" t="s">
        <v>49</v>
      </c>
      <c r="L13" s="114"/>
    </row>
    <row r="14" spans="2:12" x14ac:dyDescent="0.25">
      <c r="B14" s="109" t="s">
        <v>294</v>
      </c>
      <c r="C14" s="25" t="s">
        <v>330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69" t="s">
        <v>49</v>
      </c>
      <c r="K14" s="69" t="s">
        <v>49</v>
      </c>
      <c r="L14" s="114"/>
    </row>
    <row r="15" spans="2:12" x14ac:dyDescent="0.25">
      <c r="B15" s="10" t="s">
        <v>331</v>
      </c>
      <c r="C15" s="14" t="s">
        <v>332</v>
      </c>
      <c r="D15" s="14">
        <v>1</v>
      </c>
      <c r="E15" s="14"/>
      <c r="F15" s="14"/>
      <c r="G15" s="14"/>
      <c r="H15" s="14"/>
      <c r="I15" s="14"/>
      <c r="J15" s="11"/>
      <c r="K15" s="11" t="s">
        <v>49</v>
      </c>
      <c r="L15" s="14" t="s">
        <v>333</v>
      </c>
    </row>
    <row r="16" spans="2:12" x14ac:dyDescent="0.25">
      <c r="B16" s="57" t="s">
        <v>67</v>
      </c>
      <c r="C16" s="21" t="s">
        <v>68</v>
      </c>
      <c r="D16" s="21" t="s">
        <v>343</v>
      </c>
      <c r="E16" s="21" t="s">
        <v>66</v>
      </c>
      <c r="F16" s="21"/>
      <c r="G16" s="21"/>
      <c r="H16" s="21"/>
      <c r="I16" s="21"/>
      <c r="J16" s="39" t="s">
        <v>49</v>
      </c>
      <c r="K16" s="39" t="s">
        <v>49</v>
      </c>
    </row>
    <row r="17" spans="2:11" x14ac:dyDescent="0.25">
      <c r="B17" s="33" t="s">
        <v>64</v>
      </c>
      <c r="C17" s="24" t="s">
        <v>65</v>
      </c>
      <c r="D17" s="24" t="s">
        <v>155</v>
      </c>
      <c r="E17" s="24" t="s">
        <v>66</v>
      </c>
      <c r="F17" s="24"/>
      <c r="G17" s="24" t="s">
        <v>49</v>
      </c>
      <c r="H17" s="24" t="s">
        <v>49</v>
      </c>
      <c r="I17" s="24" t="s">
        <v>49</v>
      </c>
      <c r="J17" s="32" t="s">
        <v>49</v>
      </c>
      <c r="K17" s="32" t="s">
        <v>49</v>
      </c>
    </row>
    <row r="18" spans="2:11" x14ac:dyDescent="0.25">
      <c r="B18" s="62" t="s">
        <v>244</v>
      </c>
      <c r="C18" s="63" t="s">
        <v>245</v>
      </c>
      <c r="D18" s="63" t="s">
        <v>282</v>
      </c>
      <c r="E18" s="63" t="s">
        <v>66</v>
      </c>
      <c r="F18" s="63"/>
      <c r="G18" s="63"/>
      <c r="H18" s="63"/>
      <c r="I18" s="63" t="s">
        <v>49</v>
      </c>
      <c r="J18" s="64" t="s">
        <v>49</v>
      </c>
      <c r="K18" s="64" t="s">
        <v>49</v>
      </c>
    </row>
    <row r="19" spans="2:11" x14ac:dyDescent="0.25">
      <c r="B19" s="26" t="s">
        <v>248</v>
      </c>
      <c r="C19" s="26" t="s">
        <v>249</v>
      </c>
      <c r="D19" s="26" t="s">
        <v>158</v>
      </c>
      <c r="E19" s="26" t="s">
        <v>66</v>
      </c>
      <c r="F19" s="26" t="s">
        <v>49</v>
      </c>
      <c r="G19" s="26"/>
      <c r="H19" s="26" t="s">
        <v>49</v>
      </c>
      <c r="I19" s="26" t="s">
        <v>49</v>
      </c>
      <c r="J19" s="26" t="s">
        <v>49</v>
      </c>
      <c r="K19" s="26" t="s">
        <v>49</v>
      </c>
    </row>
    <row r="20" spans="2:11" x14ac:dyDescent="0.25">
      <c r="B20" s="65" t="s">
        <v>335</v>
      </c>
      <c r="C20" s="28" t="s">
        <v>157</v>
      </c>
      <c r="D20" s="66" t="s">
        <v>336</v>
      </c>
      <c r="E20" s="66" t="s">
        <v>66</v>
      </c>
      <c r="F20" s="116" t="s">
        <v>49</v>
      </c>
      <c r="G20" s="31"/>
      <c r="H20" s="31" t="s">
        <v>49</v>
      </c>
      <c r="I20" s="31" t="s">
        <v>49</v>
      </c>
      <c r="J20" s="67" t="s">
        <v>49</v>
      </c>
      <c r="K20" s="67" t="s">
        <v>49</v>
      </c>
    </row>
    <row r="21" spans="2:11" x14ac:dyDescent="0.25">
      <c r="B21" s="99" t="s">
        <v>254</v>
      </c>
      <c r="C21" s="100" t="s">
        <v>245</v>
      </c>
      <c r="D21" s="101" t="s">
        <v>281</v>
      </c>
      <c r="E21" s="101"/>
      <c r="F21" s="100"/>
      <c r="G21" s="100"/>
      <c r="H21" s="100"/>
      <c r="I21" s="100"/>
      <c r="J21" s="102" t="s">
        <v>49</v>
      </c>
      <c r="K21" s="102" t="s">
        <v>49</v>
      </c>
    </row>
    <row r="22" spans="2:11" x14ac:dyDescent="0.25">
      <c r="B22" s="58" t="s">
        <v>75</v>
      </c>
      <c r="C22" s="45">
        <v>5000072</v>
      </c>
      <c r="D22" s="45" t="s">
        <v>158</v>
      </c>
      <c r="E22" s="45" t="s">
        <v>66</v>
      </c>
      <c r="F22" s="45"/>
      <c r="G22" s="45"/>
      <c r="H22" s="45"/>
      <c r="I22" s="45"/>
      <c r="J22" s="54" t="s">
        <v>49</v>
      </c>
      <c r="K22" s="54" t="s">
        <v>49</v>
      </c>
    </row>
    <row r="23" spans="2:11" x14ac:dyDescent="0.25">
      <c r="B23" s="55" t="s">
        <v>258</v>
      </c>
      <c r="C23" s="51" t="s">
        <v>85</v>
      </c>
      <c r="D23" s="56">
        <v>1</v>
      </c>
      <c r="E23" s="56" t="s">
        <v>71</v>
      </c>
      <c r="F23" s="51" t="s">
        <v>49</v>
      </c>
      <c r="G23" s="51" t="s">
        <v>49</v>
      </c>
      <c r="H23" s="51" t="s">
        <v>49</v>
      </c>
      <c r="I23" s="51" t="s">
        <v>49</v>
      </c>
      <c r="J23" s="52" t="s">
        <v>49</v>
      </c>
      <c r="K23" s="52" t="s">
        <v>49</v>
      </c>
    </row>
    <row r="24" spans="2:11" ht="16.5" thickBot="1" x14ac:dyDescent="0.3">
      <c r="B24" s="30" t="s">
        <v>259</v>
      </c>
      <c r="C24" s="5" t="s">
        <v>70</v>
      </c>
      <c r="D24" s="5" t="s">
        <v>320</v>
      </c>
      <c r="E24" s="5" t="s">
        <v>71</v>
      </c>
      <c r="F24" s="5" t="s">
        <v>49</v>
      </c>
      <c r="G24" s="5" t="s">
        <v>49</v>
      </c>
      <c r="H24" s="5" t="s">
        <v>49</v>
      </c>
      <c r="I24" s="5" t="s">
        <v>49</v>
      </c>
      <c r="J24" s="6" t="s">
        <v>49</v>
      </c>
      <c r="K24" s="6" t="s">
        <v>49</v>
      </c>
    </row>
    <row r="25" spans="2:11" x14ac:dyDescent="0.25">
      <c r="F25" s="1" t="s">
        <v>202</v>
      </c>
    </row>
    <row r="26" spans="2:11" x14ac:dyDescent="0.25">
      <c r="C26"/>
      <c r="D26"/>
      <c r="E26"/>
      <c r="F26" t="s">
        <v>203</v>
      </c>
      <c r="G26"/>
      <c r="H26"/>
      <c r="I26"/>
      <c r="J26"/>
      <c r="K26"/>
    </row>
    <row r="27" spans="2:11" x14ac:dyDescent="0.25">
      <c r="B27" s="36" t="s">
        <v>77</v>
      </c>
      <c r="C27" s="21" t="s">
        <v>78</v>
      </c>
      <c r="D27"/>
      <c r="E27"/>
      <c r="F27" s="105" t="s">
        <v>204</v>
      </c>
      <c r="G27" s="105" t="s">
        <v>352</v>
      </c>
      <c r="H27"/>
      <c r="I27"/>
      <c r="J27"/>
      <c r="K27"/>
    </row>
    <row r="28" spans="2:11" x14ac:dyDescent="0.25">
      <c r="B28" s="36" t="s">
        <v>260</v>
      </c>
      <c r="C28" s="26" t="s">
        <v>262</v>
      </c>
      <c r="D28"/>
      <c r="E28"/>
      <c r="F28"/>
      <c r="G28"/>
      <c r="H28"/>
      <c r="I28"/>
      <c r="J28"/>
      <c r="K28"/>
    </row>
    <row r="29" spans="2:11" x14ac:dyDescent="0.25">
      <c r="B29" s="36" t="s">
        <v>170</v>
      </c>
      <c r="C29" s="22" t="s">
        <v>171</v>
      </c>
      <c r="D29"/>
      <c r="E29"/>
      <c r="F29"/>
      <c r="G29"/>
      <c r="H29"/>
      <c r="I29"/>
      <c r="J29"/>
      <c r="K29"/>
    </row>
    <row r="30" spans="2:11" x14ac:dyDescent="0.25">
      <c r="B30" s="36" t="s">
        <v>263</v>
      </c>
      <c r="C30" s="29" t="s">
        <v>264</v>
      </c>
      <c r="D30"/>
      <c r="E30"/>
      <c r="F30"/>
      <c r="G30"/>
      <c r="H30"/>
      <c r="I30"/>
      <c r="J30"/>
      <c r="K30"/>
    </row>
    <row r="31" spans="2:11" x14ac:dyDescent="0.25">
      <c r="B31" s="36" t="s">
        <v>80</v>
      </c>
      <c r="C31" s="24" t="s">
        <v>74</v>
      </c>
      <c r="D31"/>
      <c r="E31"/>
      <c r="F31"/>
      <c r="G31"/>
      <c r="H31"/>
      <c r="I31"/>
      <c r="J31"/>
      <c r="K31"/>
    </row>
    <row r="32" spans="2:11" x14ac:dyDescent="0.25">
      <c r="B32" s="36" t="s">
        <v>83</v>
      </c>
      <c r="C32" s="45">
        <v>5000072</v>
      </c>
      <c r="D32"/>
      <c r="E32"/>
      <c r="F32"/>
      <c r="G32"/>
      <c r="H32"/>
      <c r="I32"/>
      <c r="J32"/>
      <c r="K32"/>
    </row>
    <row r="33" spans="2:11" x14ac:dyDescent="0.25">
      <c r="B33" s="36" t="s">
        <v>84</v>
      </c>
      <c r="C33" s="51" t="s">
        <v>85</v>
      </c>
      <c r="D33"/>
      <c r="E33"/>
      <c r="F33"/>
      <c r="G33"/>
      <c r="H33"/>
      <c r="I33"/>
      <c r="J33"/>
      <c r="K33"/>
    </row>
    <row r="34" spans="2:11" x14ac:dyDescent="0.25">
      <c r="B34" s="36" t="s">
        <v>266</v>
      </c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DB9-FA7A-45B1-A79A-3A98ABC555D6}">
  <dimension ref="B1:L35"/>
  <sheetViews>
    <sheetView workbookViewId="0">
      <selection activeCell="C18" sqref="C18"/>
    </sheetView>
  </sheetViews>
  <sheetFormatPr defaultColWidth="11" defaultRowHeight="15.75" x14ac:dyDescent="0.25"/>
  <cols>
    <col min="2" max="2" width="41.875" bestFit="1" customWidth="1"/>
    <col min="4" max="4" width="5.25" customWidth="1"/>
    <col min="5" max="5" width="4.5" customWidth="1"/>
    <col min="6" max="6" width="5.875" customWidth="1"/>
    <col min="7" max="7" width="5.375" customWidth="1"/>
    <col min="8" max="8" width="4.5" customWidth="1"/>
    <col min="9" max="10" width="8.125" customWidth="1"/>
    <col min="11" max="11" width="7.5" customWidth="1"/>
    <col min="12" max="12" width="12.625" customWidth="1"/>
  </cols>
  <sheetData>
    <row r="1" spans="2:12" ht="16.5" thickBot="1" x14ac:dyDescent="0.3"/>
    <row r="2" spans="2:12" ht="32.25" thickBot="1" x14ac:dyDescent="0.55000000000000004">
      <c r="B2" s="211" t="s">
        <v>353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2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6"/>
      <c r="K3" s="227"/>
      <c r="L3" s="214" t="s">
        <v>114</v>
      </c>
    </row>
    <row r="4" spans="2:12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8000</v>
      </c>
      <c r="L4" s="215"/>
    </row>
    <row r="5" spans="2:12" x14ac:dyDescent="0.25">
      <c r="B5" s="77" t="s">
        <v>47</v>
      </c>
      <c r="C5" s="78" t="s">
        <v>87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97" t="s">
        <v>49</v>
      </c>
      <c r="K5" s="97" t="s">
        <v>49</v>
      </c>
      <c r="L5" s="114" t="s">
        <v>140</v>
      </c>
    </row>
    <row r="6" spans="2:12" x14ac:dyDescent="0.25">
      <c r="B6" s="60" t="s">
        <v>142</v>
      </c>
      <c r="C6" s="25" t="s">
        <v>88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69" t="s">
        <v>49</v>
      </c>
      <c r="K6" s="69" t="s">
        <v>49</v>
      </c>
      <c r="L6" s="114" t="s">
        <v>89</v>
      </c>
    </row>
    <row r="7" spans="2:12" x14ac:dyDescent="0.25">
      <c r="B7" s="60" t="s">
        <v>286</v>
      </c>
      <c r="C7" s="25" t="s">
        <v>91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69" t="s">
        <v>49</v>
      </c>
      <c r="K7" s="69" t="s">
        <v>49</v>
      </c>
      <c r="L7" s="25" t="s">
        <v>92</v>
      </c>
    </row>
    <row r="8" spans="2:12" x14ac:dyDescent="0.25">
      <c r="B8" s="60" t="s">
        <v>52</v>
      </c>
      <c r="C8" s="25" t="s">
        <v>182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69" t="s">
        <v>49</v>
      </c>
      <c r="K8" s="69" t="s">
        <v>49</v>
      </c>
      <c r="L8" s="114"/>
    </row>
    <row r="9" spans="2:12" x14ac:dyDescent="0.25">
      <c r="B9" s="60" t="s">
        <v>54</v>
      </c>
      <c r="C9" s="25" t="s">
        <v>183</v>
      </c>
      <c r="D9" s="25">
        <v>1</v>
      </c>
      <c r="E9" s="25"/>
      <c r="F9" s="25"/>
      <c r="G9" s="25"/>
      <c r="H9" s="25"/>
      <c r="I9" s="25" t="s">
        <v>49</v>
      </c>
      <c r="J9" s="69" t="s">
        <v>49</v>
      </c>
      <c r="K9" s="69" t="s">
        <v>49</v>
      </c>
      <c r="L9" s="114"/>
    </row>
    <row r="10" spans="2:12" x14ac:dyDescent="0.25">
      <c r="B10" s="60" t="s">
        <v>349</v>
      </c>
      <c r="C10" s="25" t="s">
        <v>350</v>
      </c>
      <c r="D10" s="25">
        <v>1</v>
      </c>
      <c r="E10" s="25"/>
      <c r="F10" s="25"/>
      <c r="G10" s="25"/>
      <c r="H10" s="25"/>
      <c r="I10" s="25" t="s">
        <v>49</v>
      </c>
      <c r="J10" s="69" t="s">
        <v>49</v>
      </c>
      <c r="K10" s="69" t="s">
        <v>49</v>
      </c>
      <c r="L10" s="114"/>
    </row>
    <row r="11" spans="2:12" x14ac:dyDescent="0.25">
      <c r="B11" s="60" t="s">
        <v>238</v>
      </c>
      <c r="C11" s="25" t="s">
        <v>354</v>
      </c>
      <c r="D11" s="25">
        <v>1</v>
      </c>
      <c r="E11" s="25"/>
      <c r="F11" s="104" t="s">
        <v>49</v>
      </c>
      <c r="G11" s="25"/>
      <c r="H11" s="25" t="s">
        <v>49</v>
      </c>
      <c r="I11" s="25" t="s">
        <v>49</v>
      </c>
      <c r="J11" s="69" t="s">
        <v>49</v>
      </c>
      <c r="K11" s="69" t="s">
        <v>49</v>
      </c>
      <c r="L11" s="114"/>
    </row>
    <row r="12" spans="2:12" x14ac:dyDescent="0.25">
      <c r="B12" s="60" t="s">
        <v>355</v>
      </c>
      <c r="C12" s="25" t="s">
        <v>356</v>
      </c>
      <c r="D12" s="25">
        <v>1</v>
      </c>
      <c r="E12" s="25"/>
      <c r="F12" s="104"/>
      <c r="G12" s="25"/>
      <c r="H12" s="25"/>
      <c r="I12" s="25"/>
      <c r="J12" s="69" t="s">
        <v>49</v>
      </c>
      <c r="K12" s="69" t="s">
        <v>49</v>
      </c>
      <c r="L12" s="114"/>
    </row>
    <row r="13" spans="2:12" x14ac:dyDescent="0.25">
      <c r="B13" s="60" t="s">
        <v>240</v>
      </c>
      <c r="C13" s="26" t="s">
        <v>290</v>
      </c>
      <c r="D13" s="25">
        <v>1</v>
      </c>
      <c r="E13" s="25"/>
      <c r="F13" s="104" t="s">
        <v>49</v>
      </c>
      <c r="G13" s="25"/>
      <c r="H13" s="25" t="s">
        <v>49</v>
      </c>
      <c r="I13" s="25" t="s">
        <v>49</v>
      </c>
      <c r="J13" s="69" t="s">
        <v>49</v>
      </c>
      <c r="K13" s="69" t="s">
        <v>49</v>
      </c>
      <c r="L13" s="26" t="s">
        <v>291</v>
      </c>
    </row>
    <row r="14" spans="2:12" x14ac:dyDescent="0.25">
      <c r="B14" s="109" t="s">
        <v>292</v>
      </c>
      <c r="C14" s="25" t="s">
        <v>329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69" t="s">
        <v>49</v>
      </c>
      <c r="K14" s="69" t="s">
        <v>49</v>
      </c>
      <c r="L14" s="114"/>
    </row>
    <row r="15" spans="2:12" x14ac:dyDescent="0.25">
      <c r="B15" s="109" t="s">
        <v>294</v>
      </c>
      <c r="C15" s="25" t="s">
        <v>330</v>
      </c>
      <c r="D15" s="25">
        <v>1</v>
      </c>
      <c r="E15" s="25"/>
      <c r="F15" s="25"/>
      <c r="G15" s="25"/>
      <c r="H15" s="25" t="s">
        <v>49</v>
      </c>
      <c r="I15" s="25" t="s">
        <v>49</v>
      </c>
      <c r="J15" s="69" t="s">
        <v>49</v>
      </c>
      <c r="K15" s="69" t="s">
        <v>49</v>
      </c>
      <c r="L15" s="114"/>
    </row>
    <row r="16" spans="2:12" x14ac:dyDescent="0.25">
      <c r="B16" s="10" t="s">
        <v>331</v>
      </c>
      <c r="C16" s="14" t="s">
        <v>357</v>
      </c>
      <c r="D16" s="14">
        <v>1</v>
      </c>
      <c r="E16" s="14"/>
      <c r="F16" s="14"/>
      <c r="G16" s="14"/>
      <c r="H16" s="14"/>
      <c r="I16" s="14"/>
      <c r="J16" s="11"/>
      <c r="K16" s="11" t="s">
        <v>49</v>
      </c>
      <c r="L16" s="14" t="s">
        <v>333</v>
      </c>
    </row>
    <row r="17" spans="2:11" x14ac:dyDescent="0.25">
      <c r="B17" s="57" t="s">
        <v>67</v>
      </c>
      <c r="C17" s="21" t="s">
        <v>68</v>
      </c>
      <c r="D17" s="21" t="s">
        <v>358</v>
      </c>
      <c r="E17" s="21" t="s">
        <v>66</v>
      </c>
      <c r="F17" s="21"/>
      <c r="G17" s="21"/>
      <c r="H17" s="21"/>
      <c r="I17" s="21"/>
      <c r="J17" s="39" t="s">
        <v>49</v>
      </c>
      <c r="K17" s="39" t="s">
        <v>49</v>
      </c>
    </row>
    <row r="18" spans="2:11" x14ac:dyDescent="0.25">
      <c r="B18" s="33" t="s">
        <v>64</v>
      </c>
      <c r="C18" s="24" t="s">
        <v>65</v>
      </c>
      <c r="D18" s="24" t="s">
        <v>155</v>
      </c>
      <c r="E18" s="24" t="s">
        <v>66</v>
      </c>
      <c r="F18" s="24"/>
      <c r="G18" s="24" t="s">
        <v>49</v>
      </c>
      <c r="H18" s="24" t="s">
        <v>49</v>
      </c>
      <c r="I18" s="24" t="s">
        <v>49</v>
      </c>
      <c r="J18" s="32" t="s">
        <v>49</v>
      </c>
      <c r="K18" s="32" t="s">
        <v>49</v>
      </c>
    </row>
    <row r="19" spans="2:11" x14ac:dyDescent="0.25">
      <c r="B19" s="62" t="s">
        <v>244</v>
      </c>
      <c r="C19" s="29" t="s">
        <v>245</v>
      </c>
      <c r="D19" s="63" t="s">
        <v>282</v>
      </c>
      <c r="E19" s="63" t="s">
        <v>66</v>
      </c>
      <c r="F19" s="63"/>
      <c r="G19" s="63"/>
      <c r="H19" s="63"/>
      <c r="I19" s="63" t="s">
        <v>49</v>
      </c>
      <c r="J19" s="64" t="s">
        <v>49</v>
      </c>
      <c r="K19" s="64" t="s">
        <v>49</v>
      </c>
    </row>
    <row r="20" spans="2:11" x14ac:dyDescent="0.25">
      <c r="B20" s="59" t="s">
        <v>248</v>
      </c>
      <c r="C20" s="28" t="s">
        <v>157</v>
      </c>
      <c r="D20" s="27" t="s">
        <v>158</v>
      </c>
      <c r="E20" s="27" t="s">
        <v>66</v>
      </c>
      <c r="F20" s="116" t="s">
        <v>49</v>
      </c>
      <c r="G20" s="28"/>
      <c r="H20" s="28" t="s">
        <v>49</v>
      </c>
      <c r="I20" s="28" t="s">
        <v>49</v>
      </c>
      <c r="J20" s="49" t="s">
        <v>49</v>
      </c>
      <c r="K20" s="49" t="s">
        <v>49</v>
      </c>
    </row>
    <row r="21" spans="2:11" x14ac:dyDescent="0.25">
      <c r="B21" s="65" t="s">
        <v>335</v>
      </c>
      <c r="C21" s="28" t="s">
        <v>157</v>
      </c>
      <c r="D21" s="66">
        <v>14</v>
      </c>
      <c r="E21" s="66" t="s">
        <v>66</v>
      </c>
      <c r="F21" s="116" t="s">
        <v>49</v>
      </c>
      <c r="G21" s="31"/>
      <c r="H21" s="31" t="s">
        <v>49</v>
      </c>
      <c r="I21" s="31" t="s">
        <v>49</v>
      </c>
      <c r="J21" s="67" t="s">
        <v>49</v>
      </c>
      <c r="K21" s="67" t="s">
        <v>49</v>
      </c>
    </row>
    <row r="22" spans="2:11" x14ac:dyDescent="0.25">
      <c r="B22" s="99" t="s">
        <v>254</v>
      </c>
      <c r="C22" s="100" t="s">
        <v>264</v>
      </c>
      <c r="D22" s="101" t="s">
        <v>281</v>
      </c>
      <c r="E22" s="101"/>
      <c r="F22" s="100"/>
      <c r="G22" s="100"/>
      <c r="H22" s="100"/>
      <c r="I22" s="100"/>
      <c r="J22" s="102" t="s">
        <v>49</v>
      </c>
      <c r="K22" s="102" t="s">
        <v>49</v>
      </c>
    </row>
    <row r="23" spans="2:11" x14ac:dyDescent="0.25">
      <c r="B23" s="58" t="s">
        <v>75</v>
      </c>
      <c r="C23" s="45">
        <v>5000072</v>
      </c>
      <c r="D23" s="45" t="s">
        <v>158</v>
      </c>
      <c r="E23" s="45" t="s">
        <v>66</v>
      </c>
      <c r="F23" s="45"/>
      <c r="G23" s="45"/>
      <c r="H23" s="45"/>
      <c r="I23" s="45"/>
      <c r="J23" s="54" t="s">
        <v>49</v>
      </c>
      <c r="K23" s="54" t="s">
        <v>49</v>
      </c>
    </row>
    <row r="24" spans="2:11" x14ac:dyDescent="0.25">
      <c r="B24" s="55" t="s">
        <v>258</v>
      </c>
      <c r="C24" s="51" t="s">
        <v>85</v>
      </c>
      <c r="D24" s="56">
        <v>1</v>
      </c>
      <c r="E24" s="56" t="s">
        <v>71</v>
      </c>
      <c r="F24" s="51" t="s">
        <v>49</v>
      </c>
      <c r="G24" s="51" t="s">
        <v>49</v>
      </c>
      <c r="H24" s="51" t="s">
        <v>49</v>
      </c>
      <c r="I24" s="51" t="s">
        <v>49</v>
      </c>
      <c r="J24" s="52" t="s">
        <v>49</v>
      </c>
      <c r="K24" s="52" t="s">
        <v>49</v>
      </c>
    </row>
    <row r="25" spans="2:11" ht="16.5" thickBot="1" x14ac:dyDescent="0.3">
      <c r="B25" s="30" t="s">
        <v>259</v>
      </c>
      <c r="C25" s="5" t="s">
        <v>70</v>
      </c>
      <c r="D25" s="5" t="s">
        <v>320</v>
      </c>
      <c r="E25" s="5" t="s">
        <v>71</v>
      </c>
      <c r="F25" s="5" t="s">
        <v>49</v>
      </c>
      <c r="G25" s="5" t="s">
        <v>49</v>
      </c>
      <c r="H25" s="5" t="s">
        <v>49</v>
      </c>
      <c r="I25" s="5" t="s">
        <v>49</v>
      </c>
      <c r="J25" s="6" t="s">
        <v>49</v>
      </c>
      <c r="K25" s="6" t="s">
        <v>49</v>
      </c>
    </row>
    <row r="26" spans="2:11" x14ac:dyDescent="0.25">
      <c r="C26" s="1"/>
      <c r="D26" s="1"/>
      <c r="E26" s="1"/>
      <c r="F26" s="1" t="s">
        <v>202</v>
      </c>
      <c r="G26" s="1"/>
      <c r="H26" s="1"/>
      <c r="I26" s="1"/>
      <c r="J26" s="1"/>
      <c r="K26" s="1"/>
    </row>
    <row r="27" spans="2:11" x14ac:dyDescent="0.25">
      <c r="F27" t="s">
        <v>203</v>
      </c>
    </row>
    <row r="28" spans="2:11" x14ac:dyDescent="0.25">
      <c r="B28" s="36" t="s">
        <v>77</v>
      </c>
      <c r="C28" s="21" t="s">
        <v>78</v>
      </c>
      <c r="F28" s="105" t="s">
        <v>204</v>
      </c>
      <c r="G28" s="105" t="s">
        <v>352</v>
      </c>
    </row>
    <row r="29" spans="2:11" x14ac:dyDescent="0.25">
      <c r="B29" s="36" t="s">
        <v>260</v>
      </c>
      <c r="C29" s="26" t="s">
        <v>262</v>
      </c>
    </row>
    <row r="30" spans="2:11" x14ac:dyDescent="0.25">
      <c r="B30" s="36" t="s">
        <v>170</v>
      </c>
      <c r="C30" s="22" t="s">
        <v>171</v>
      </c>
    </row>
    <row r="31" spans="2:11" x14ac:dyDescent="0.25">
      <c r="B31" s="36" t="s">
        <v>263</v>
      </c>
      <c r="C31" s="29" t="s">
        <v>264</v>
      </c>
    </row>
    <row r="32" spans="2:11" x14ac:dyDescent="0.25">
      <c r="B32" s="36" t="s">
        <v>80</v>
      </c>
      <c r="C32" s="24" t="s">
        <v>74</v>
      </c>
    </row>
    <row r="33" spans="2:11" x14ac:dyDescent="0.25">
      <c r="B33" s="36" t="s">
        <v>83</v>
      </c>
      <c r="C33" s="45">
        <v>5000072</v>
      </c>
    </row>
    <row r="34" spans="2:11" x14ac:dyDescent="0.25">
      <c r="B34" s="36" t="s">
        <v>84</v>
      </c>
      <c r="C34" s="51" t="s">
        <v>85</v>
      </c>
    </row>
    <row r="35" spans="2:11" x14ac:dyDescent="0.25">
      <c r="B35" s="36" t="s">
        <v>266</v>
      </c>
      <c r="C35" s="1"/>
      <c r="D35" s="1"/>
      <c r="E35" s="1"/>
      <c r="F35" s="1"/>
      <c r="G35" s="1"/>
      <c r="H35" s="1"/>
      <c r="I35" s="1"/>
      <c r="J35" s="1"/>
      <c r="K35" s="1"/>
    </row>
  </sheetData>
  <mergeCells count="7">
    <mergeCell ref="B2:K2"/>
    <mergeCell ref="L3:L4"/>
    <mergeCell ref="B3:B4"/>
    <mergeCell ref="C3:C4"/>
    <mergeCell ref="D3:D4"/>
    <mergeCell ref="E3:E4"/>
    <mergeCell ref="F3:K3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835-D027-4855-BF1A-A27EF86561A5}">
  <dimension ref="B1:N32"/>
  <sheetViews>
    <sheetView workbookViewId="0">
      <selection activeCell="C15" sqref="C15"/>
    </sheetView>
  </sheetViews>
  <sheetFormatPr defaultColWidth="10.875" defaultRowHeight="15.75" x14ac:dyDescent="0.25"/>
  <cols>
    <col min="2" max="2" width="41.25" bestFit="1" customWidth="1"/>
    <col min="3" max="3" width="12.375" style="1" customWidth="1"/>
    <col min="4" max="5" width="12.875" style="1" customWidth="1"/>
    <col min="6" max="8" width="6.125" style="1" customWidth="1"/>
    <col min="9" max="9" width="6.125" style="1" bestFit="1" customWidth="1"/>
    <col min="10" max="10" width="6.125" style="1" customWidth="1"/>
    <col min="11" max="11" width="12" customWidth="1"/>
  </cols>
  <sheetData>
    <row r="1" spans="2:14" ht="16.5" thickBot="1" x14ac:dyDescent="0.3"/>
    <row r="2" spans="2:14" ht="32.25" thickBot="1" x14ac:dyDescent="0.55000000000000004">
      <c r="B2" s="211" t="s">
        <v>359</v>
      </c>
      <c r="C2" s="212"/>
      <c r="D2" s="212"/>
      <c r="E2" s="212"/>
      <c r="F2" s="212"/>
      <c r="G2" s="212"/>
      <c r="H2" s="212"/>
      <c r="I2" s="212"/>
      <c r="J2" s="213"/>
    </row>
    <row r="3" spans="2:14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14" t="s">
        <v>114</v>
      </c>
    </row>
    <row r="4" spans="2:14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6000</v>
      </c>
      <c r="K4" s="215"/>
    </row>
    <row r="5" spans="2:14" x14ac:dyDescent="0.25">
      <c r="B5" s="77" t="s">
        <v>47</v>
      </c>
      <c r="C5" s="107" t="s">
        <v>225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78" t="s">
        <v>49</v>
      </c>
      <c r="K5" s="90" t="s">
        <v>226</v>
      </c>
      <c r="L5" s="141"/>
      <c r="N5" s="98"/>
    </row>
    <row r="6" spans="2:14" x14ac:dyDescent="0.25">
      <c r="B6" s="60" t="s">
        <v>142</v>
      </c>
      <c r="C6" s="25" t="s">
        <v>227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25" t="s">
        <v>49</v>
      </c>
      <c r="K6" s="26" t="s">
        <v>228</v>
      </c>
      <c r="N6" s="98"/>
    </row>
    <row r="7" spans="2:14" x14ac:dyDescent="0.25">
      <c r="B7" s="60" t="s">
        <v>229</v>
      </c>
      <c r="C7" s="25" t="s">
        <v>360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114"/>
      <c r="N7" s="98"/>
    </row>
    <row r="8" spans="2:14" x14ac:dyDescent="0.25">
      <c r="B8" s="60" t="s">
        <v>231</v>
      </c>
      <c r="C8" s="25" t="s">
        <v>361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140" t="s">
        <v>362</v>
      </c>
      <c r="N8" s="98"/>
    </row>
    <row r="9" spans="2:14" x14ac:dyDescent="0.25">
      <c r="B9" s="60" t="s">
        <v>233</v>
      </c>
      <c r="C9" s="25" t="s">
        <v>363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140" t="s">
        <v>364</v>
      </c>
      <c r="N9" s="98"/>
    </row>
    <row r="10" spans="2:14" x14ac:dyDescent="0.25">
      <c r="B10" s="60" t="s">
        <v>236</v>
      </c>
      <c r="C10" s="25" t="s">
        <v>365</v>
      </c>
      <c r="D10" s="25">
        <v>1</v>
      </c>
      <c r="E10" s="25"/>
      <c r="F10" s="25"/>
      <c r="G10" s="25"/>
      <c r="H10" s="25"/>
      <c r="I10" s="25" t="s">
        <v>49</v>
      </c>
      <c r="J10" s="25" t="s">
        <v>49</v>
      </c>
      <c r="K10" s="114"/>
      <c r="N10" s="98"/>
    </row>
    <row r="11" spans="2:14" x14ac:dyDescent="0.25">
      <c r="B11" s="60" t="s">
        <v>238</v>
      </c>
      <c r="C11" s="25" t="s">
        <v>366</v>
      </c>
      <c r="D11" s="25">
        <v>1</v>
      </c>
      <c r="E11" s="25"/>
      <c r="F11" s="25"/>
      <c r="G11" s="25" t="s">
        <v>49</v>
      </c>
      <c r="H11" s="25" t="s">
        <v>49</v>
      </c>
      <c r="I11" s="25" t="s">
        <v>49</v>
      </c>
      <c r="J11" s="25" t="s">
        <v>49</v>
      </c>
      <c r="K11" s="114"/>
      <c r="N11" s="98"/>
    </row>
    <row r="12" spans="2:14" x14ac:dyDescent="0.25">
      <c r="B12" s="60" t="s">
        <v>240</v>
      </c>
      <c r="C12" s="107" t="s">
        <v>241</v>
      </c>
      <c r="D12" s="25">
        <v>1</v>
      </c>
      <c r="E12" s="25"/>
      <c r="F12" s="25"/>
      <c r="G12" s="25" t="s">
        <v>49</v>
      </c>
      <c r="H12" s="25" t="s">
        <v>49</v>
      </c>
      <c r="I12" s="25" t="s">
        <v>49</v>
      </c>
      <c r="J12" s="25" t="s">
        <v>49</v>
      </c>
      <c r="K12" s="25"/>
      <c r="N12" s="98"/>
    </row>
    <row r="13" spans="2:14" x14ac:dyDescent="0.25">
      <c r="B13" s="10" t="s">
        <v>152</v>
      </c>
      <c r="C13" s="14" t="s">
        <v>367</v>
      </c>
      <c r="D13" s="14">
        <v>1</v>
      </c>
      <c r="E13" s="14"/>
      <c r="F13" s="14"/>
      <c r="G13" s="14"/>
      <c r="H13" s="14"/>
      <c r="I13" s="14"/>
      <c r="J13" s="14" t="s">
        <v>49</v>
      </c>
      <c r="K13" s="114"/>
      <c r="N13" s="98"/>
    </row>
    <row r="14" spans="2:14" x14ac:dyDescent="0.25">
      <c r="B14" s="57" t="s">
        <v>67</v>
      </c>
      <c r="C14" s="21" t="s">
        <v>68</v>
      </c>
      <c r="D14" s="21">
        <v>181</v>
      </c>
      <c r="E14" s="21" t="s">
        <v>66</v>
      </c>
      <c r="F14" s="21"/>
      <c r="G14" s="21"/>
      <c r="H14" s="21"/>
      <c r="I14" s="21" t="s">
        <v>49</v>
      </c>
      <c r="J14" s="21" t="s">
        <v>49</v>
      </c>
      <c r="K14" s="8">
        <v>46</v>
      </c>
    </row>
    <row r="15" spans="2:14" ht="21" x14ac:dyDescent="0.35">
      <c r="B15" s="33" t="s">
        <v>64</v>
      </c>
      <c r="C15" s="24" t="s">
        <v>65</v>
      </c>
      <c r="D15" s="24" t="s">
        <v>368</v>
      </c>
      <c r="E15" s="24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24" t="s">
        <v>49</v>
      </c>
      <c r="K15" s="8" t="s">
        <v>135</v>
      </c>
      <c r="L15" s="112"/>
    </row>
    <row r="16" spans="2:14" x14ac:dyDescent="0.25">
      <c r="B16" s="62" t="s">
        <v>244</v>
      </c>
      <c r="C16" s="29" t="s">
        <v>245</v>
      </c>
      <c r="D16" s="63" t="s">
        <v>155</v>
      </c>
      <c r="E16" s="63" t="s">
        <v>66</v>
      </c>
      <c r="F16" s="63"/>
      <c r="G16" s="63"/>
      <c r="H16" s="63" t="s">
        <v>49</v>
      </c>
      <c r="I16" s="63" t="s">
        <v>49</v>
      </c>
      <c r="J16" s="63" t="s">
        <v>49</v>
      </c>
      <c r="K16" s="8" t="s">
        <v>247</v>
      </c>
    </row>
    <row r="17" spans="2:11" x14ac:dyDescent="0.25">
      <c r="B17" s="60" t="s">
        <v>248</v>
      </c>
      <c r="C17" s="26" t="s">
        <v>249</v>
      </c>
      <c r="D17" s="26" t="s">
        <v>158</v>
      </c>
      <c r="E17" s="26" t="s">
        <v>66</v>
      </c>
      <c r="F17" s="25"/>
      <c r="G17" s="25" t="s">
        <v>49</v>
      </c>
      <c r="H17" s="25" t="s">
        <v>49</v>
      </c>
      <c r="I17" s="25" t="s">
        <v>49</v>
      </c>
      <c r="J17" s="25" t="s">
        <v>49</v>
      </c>
      <c r="K17" s="8" t="s">
        <v>250</v>
      </c>
    </row>
    <row r="18" spans="2:11" x14ac:dyDescent="0.25">
      <c r="B18" s="59" t="s">
        <v>369</v>
      </c>
      <c r="C18" s="59" t="s">
        <v>157</v>
      </c>
      <c r="D18" s="27" t="s">
        <v>282</v>
      </c>
      <c r="E18" s="27" t="s">
        <v>66</v>
      </c>
      <c r="F18" s="28"/>
      <c r="G18" s="31" t="s">
        <v>49</v>
      </c>
      <c r="H18" s="28" t="s">
        <v>49</v>
      </c>
      <c r="I18" s="28" t="s">
        <v>49</v>
      </c>
      <c r="J18" s="28" t="s">
        <v>49</v>
      </c>
      <c r="K18" s="8" t="s">
        <v>253</v>
      </c>
    </row>
    <row r="19" spans="2:11" x14ac:dyDescent="0.25">
      <c r="B19" s="99" t="s">
        <v>254</v>
      </c>
      <c r="C19" s="100" t="s">
        <v>264</v>
      </c>
      <c r="D19" s="101" t="s">
        <v>281</v>
      </c>
      <c r="E19" s="101"/>
      <c r="F19" s="100"/>
      <c r="G19" s="100"/>
      <c r="H19" s="100"/>
      <c r="I19" s="100" t="s">
        <v>49</v>
      </c>
      <c r="J19" s="100" t="s">
        <v>49</v>
      </c>
      <c r="K19" s="8" t="s">
        <v>256</v>
      </c>
    </row>
    <row r="20" spans="2:11" x14ac:dyDescent="0.25">
      <c r="B20" s="58" t="s">
        <v>75</v>
      </c>
      <c r="C20" s="45">
        <v>5000072</v>
      </c>
      <c r="D20" s="45" t="s">
        <v>370</v>
      </c>
      <c r="E20" s="45" t="s">
        <v>66</v>
      </c>
      <c r="F20" s="45"/>
      <c r="G20" s="45"/>
      <c r="H20" s="45"/>
      <c r="I20" s="45" t="s">
        <v>49</v>
      </c>
      <c r="J20" s="45" t="s">
        <v>49</v>
      </c>
      <c r="K20" s="8" t="s">
        <v>110</v>
      </c>
    </row>
    <row r="21" spans="2:11" x14ac:dyDescent="0.25">
      <c r="B21" s="55" t="s">
        <v>258</v>
      </c>
      <c r="C21" s="51" t="s">
        <v>85</v>
      </c>
      <c r="D21" s="56">
        <v>1</v>
      </c>
      <c r="E21" s="56" t="s">
        <v>218</v>
      </c>
      <c r="F21" s="51" t="s">
        <v>49</v>
      </c>
      <c r="G21" s="51" t="s">
        <v>49</v>
      </c>
      <c r="H21" s="51" t="s">
        <v>49</v>
      </c>
      <c r="I21" s="51" t="s">
        <v>49</v>
      </c>
      <c r="J21" s="51" t="s">
        <v>49</v>
      </c>
      <c r="K21" s="8"/>
    </row>
    <row r="22" spans="2:11" ht="16.5" thickBot="1" x14ac:dyDescent="0.3">
      <c r="B22" s="30" t="s">
        <v>259</v>
      </c>
      <c r="C22" s="5" t="s">
        <v>70</v>
      </c>
      <c r="D22" s="5">
        <v>1</v>
      </c>
      <c r="E22" s="5" t="s">
        <v>71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8" t="s">
        <v>108</v>
      </c>
    </row>
    <row r="24" spans="2:11" x14ac:dyDescent="0.25">
      <c r="C24"/>
      <c r="D24"/>
      <c r="E24"/>
      <c r="F24"/>
      <c r="G24"/>
      <c r="H24"/>
      <c r="I24"/>
      <c r="J24"/>
    </row>
    <row r="25" spans="2:11" x14ac:dyDescent="0.25">
      <c r="B25" s="36" t="s">
        <v>77</v>
      </c>
      <c r="C25" s="21" t="s">
        <v>78</v>
      </c>
      <c r="D25"/>
      <c r="E25"/>
      <c r="F25" s="105"/>
      <c r="G25"/>
      <c r="H25"/>
      <c r="I25"/>
      <c r="J25"/>
    </row>
    <row r="26" spans="2:11" x14ac:dyDescent="0.25">
      <c r="B26" s="36" t="s">
        <v>260</v>
      </c>
      <c r="C26" s="26" t="s">
        <v>262</v>
      </c>
      <c r="D26"/>
      <c r="E26"/>
      <c r="F26" s="105"/>
      <c r="G26"/>
      <c r="H26"/>
      <c r="I26"/>
      <c r="J26"/>
    </row>
    <row r="27" spans="2:11" x14ac:dyDescent="0.25">
      <c r="B27" s="36" t="s">
        <v>170</v>
      </c>
      <c r="C27" s="22" t="s">
        <v>171</v>
      </c>
      <c r="D27"/>
      <c r="E27"/>
      <c r="F27"/>
      <c r="G27"/>
      <c r="H27"/>
      <c r="I27"/>
      <c r="J27"/>
    </row>
    <row r="28" spans="2:11" x14ac:dyDescent="0.25">
      <c r="B28" s="36" t="s">
        <v>263</v>
      </c>
      <c r="C28" s="29" t="s">
        <v>264</v>
      </c>
      <c r="D28"/>
      <c r="E28"/>
      <c r="F28"/>
      <c r="G28"/>
      <c r="H28"/>
      <c r="I28"/>
      <c r="J28"/>
    </row>
    <row r="29" spans="2:11" x14ac:dyDescent="0.25">
      <c r="B29" s="36" t="s">
        <v>80</v>
      </c>
      <c r="C29" s="24" t="s">
        <v>74</v>
      </c>
      <c r="D29"/>
      <c r="E29"/>
      <c r="F29"/>
      <c r="G29"/>
      <c r="H29"/>
      <c r="I29"/>
      <c r="J29"/>
    </row>
    <row r="30" spans="2:11" x14ac:dyDescent="0.25">
      <c r="B30" s="36" t="s">
        <v>265</v>
      </c>
      <c r="C30" s="45">
        <v>5000072</v>
      </c>
      <c r="D30"/>
      <c r="E30"/>
      <c r="F30"/>
      <c r="G30"/>
      <c r="H30"/>
      <c r="I30"/>
      <c r="J30"/>
    </row>
    <row r="31" spans="2:11" x14ac:dyDescent="0.25">
      <c r="B31" s="36" t="s">
        <v>84</v>
      </c>
      <c r="C31" s="51" t="s">
        <v>85</v>
      </c>
    </row>
    <row r="32" spans="2:11" x14ac:dyDescent="0.25">
      <c r="B32" s="36" t="s">
        <v>266</v>
      </c>
    </row>
  </sheetData>
  <mergeCells count="7">
    <mergeCell ref="B2:J2"/>
    <mergeCell ref="K3:K4"/>
    <mergeCell ref="B3:B4"/>
    <mergeCell ref="C3:C4"/>
    <mergeCell ref="D3:D4"/>
    <mergeCell ref="E3:E4"/>
    <mergeCell ref="F3:J3"/>
  </mergeCells>
  <pageMargins left="0.7" right="0.7" top="0.75" bottom="0.75" header="0.3" footer="0.3"/>
  <pageSetup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8"/>
  <sheetViews>
    <sheetView workbookViewId="0">
      <selection activeCell="C15" sqref="C15"/>
    </sheetView>
  </sheetViews>
  <sheetFormatPr defaultColWidth="10.875" defaultRowHeight="15.75" x14ac:dyDescent="0.25"/>
  <cols>
    <col min="2" max="2" width="40.875" customWidth="1"/>
    <col min="3" max="3" width="11.125" bestFit="1" customWidth="1"/>
    <col min="4" max="4" width="14" customWidth="1"/>
    <col min="6" max="9" width="6.125" customWidth="1"/>
    <col min="10" max="10" width="13.625" customWidth="1"/>
  </cols>
  <sheetData>
    <row r="1" spans="2:11" ht="16.5" thickBot="1" x14ac:dyDescent="0.3"/>
    <row r="2" spans="2:11" ht="32.25" thickBot="1" x14ac:dyDescent="0.55000000000000004">
      <c r="B2" s="211" t="s">
        <v>371</v>
      </c>
      <c r="C2" s="212"/>
      <c r="D2" s="212"/>
      <c r="E2" s="212"/>
      <c r="F2" s="212"/>
      <c r="G2" s="212"/>
      <c r="H2" s="212"/>
      <c r="I2" s="213"/>
    </row>
    <row r="3" spans="2:11" ht="16.5" customHeight="1" thickBot="1" x14ac:dyDescent="0.3">
      <c r="B3" s="216" t="s">
        <v>41</v>
      </c>
      <c r="C3" s="218" t="s">
        <v>42</v>
      </c>
      <c r="D3" s="243" t="s">
        <v>139</v>
      </c>
      <c r="E3" s="222" t="s">
        <v>44</v>
      </c>
      <c r="F3" s="241"/>
      <c r="G3" s="241"/>
      <c r="H3" s="241"/>
      <c r="I3" s="242"/>
      <c r="J3" s="214" t="s">
        <v>114</v>
      </c>
      <c r="K3" s="18"/>
    </row>
    <row r="4" spans="2:11" ht="16.5" thickBot="1" x14ac:dyDescent="0.3">
      <c r="B4" s="229"/>
      <c r="C4" s="219"/>
      <c r="D4" s="244"/>
      <c r="E4" s="231"/>
      <c r="F4" s="17">
        <v>250</v>
      </c>
      <c r="G4" s="17">
        <v>500</v>
      </c>
      <c r="H4" s="17">
        <v>1000</v>
      </c>
      <c r="I4" s="17">
        <v>2000</v>
      </c>
      <c r="J4" s="215"/>
    </row>
    <row r="5" spans="2:11" x14ac:dyDescent="0.25">
      <c r="B5" s="77" t="s">
        <v>47</v>
      </c>
      <c r="C5" s="78" t="s">
        <v>48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131" t="s">
        <v>372</v>
      </c>
    </row>
    <row r="6" spans="2:11" x14ac:dyDescent="0.25">
      <c r="B6" s="60" t="s">
        <v>373</v>
      </c>
      <c r="C6" s="25" t="s">
        <v>210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</row>
    <row r="7" spans="2:11" x14ac:dyDescent="0.25">
      <c r="B7" s="60" t="s">
        <v>374</v>
      </c>
      <c r="C7" s="25" t="s">
        <v>375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</row>
    <row r="8" spans="2:11" x14ac:dyDescent="0.25">
      <c r="B8" s="60" t="s">
        <v>52</v>
      </c>
      <c r="C8" s="25" t="s">
        <v>376</v>
      </c>
      <c r="D8" s="25">
        <v>1</v>
      </c>
      <c r="E8" s="25"/>
      <c r="F8" s="25"/>
      <c r="G8" s="25" t="s">
        <v>49</v>
      </c>
      <c r="H8" s="25" t="s">
        <v>49</v>
      </c>
      <c r="I8" s="25" t="s">
        <v>49</v>
      </c>
    </row>
    <row r="9" spans="2:11" x14ac:dyDescent="0.25">
      <c r="B9" s="60" t="s">
        <v>54</v>
      </c>
      <c r="C9" s="25" t="s">
        <v>377</v>
      </c>
      <c r="D9" s="25">
        <v>1</v>
      </c>
      <c r="E9" s="25"/>
      <c r="F9" s="25"/>
      <c r="G9" s="25"/>
      <c r="H9" s="25" t="s">
        <v>49</v>
      </c>
      <c r="I9" s="25" t="s">
        <v>49</v>
      </c>
    </row>
    <row r="10" spans="2:11" x14ac:dyDescent="0.25">
      <c r="B10" s="60" t="s">
        <v>378</v>
      </c>
      <c r="C10" s="25" t="s">
        <v>379</v>
      </c>
      <c r="D10" s="25">
        <v>1</v>
      </c>
      <c r="E10" s="25"/>
      <c r="F10" s="25"/>
      <c r="G10" s="25"/>
      <c r="H10" s="25"/>
      <c r="I10" s="25" t="s">
        <v>49</v>
      </c>
    </row>
    <row r="11" spans="2:11" x14ac:dyDescent="0.25">
      <c r="B11" s="60" t="s">
        <v>380</v>
      </c>
      <c r="C11" s="25" t="s">
        <v>381</v>
      </c>
      <c r="D11" s="25">
        <v>1</v>
      </c>
      <c r="E11" s="25"/>
      <c r="F11" s="25"/>
      <c r="G11" s="25" t="s">
        <v>49</v>
      </c>
      <c r="H11" s="25" t="s">
        <v>49</v>
      </c>
      <c r="I11" s="25" t="s">
        <v>49</v>
      </c>
    </row>
    <row r="12" spans="2:11" x14ac:dyDescent="0.25">
      <c r="B12" s="60" t="s">
        <v>382</v>
      </c>
      <c r="C12" s="25" t="s">
        <v>237</v>
      </c>
      <c r="D12" s="25">
        <v>1</v>
      </c>
      <c r="E12" s="25"/>
      <c r="F12" s="25"/>
      <c r="G12" s="25"/>
      <c r="H12" s="25"/>
      <c r="I12" s="25" t="s">
        <v>49</v>
      </c>
    </row>
    <row r="13" spans="2:11" x14ac:dyDescent="0.25">
      <c r="B13" s="10" t="s">
        <v>383</v>
      </c>
      <c r="C13" s="14" t="s">
        <v>384</v>
      </c>
      <c r="D13" s="14">
        <v>1</v>
      </c>
      <c r="E13" s="14"/>
      <c r="F13" s="14"/>
      <c r="G13" s="14"/>
      <c r="H13" s="14"/>
      <c r="I13" s="14" t="s">
        <v>49</v>
      </c>
    </row>
    <row r="14" spans="2:11" x14ac:dyDescent="0.25">
      <c r="B14" s="57" t="s">
        <v>67</v>
      </c>
      <c r="C14" s="21" t="s">
        <v>68</v>
      </c>
      <c r="D14" s="21" t="s">
        <v>385</v>
      </c>
      <c r="E14" s="21" t="s">
        <v>66</v>
      </c>
      <c r="F14" s="21"/>
      <c r="G14" s="21"/>
      <c r="H14" s="21"/>
      <c r="I14" s="21" t="s">
        <v>49</v>
      </c>
      <c r="J14" s="72" t="s">
        <v>386</v>
      </c>
    </row>
    <row r="15" spans="2:11" x14ac:dyDescent="0.25">
      <c r="B15" s="33" t="s">
        <v>64</v>
      </c>
      <c r="C15" s="24" t="s">
        <v>65</v>
      </c>
      <c r="D15" s="24" t="s">
        <v>387</v>
      </c>
      <c r="E15" s="24" t="s">
        <v>66</v>
      </c>
      <c r="F15" s="24" t="s">
        <v>49</v>
      </c>
      <c r="G15" s="24" t="s">
        <v>49</v>
      </c>
      <c r="H15" s="24" t="s">
        <v>49</v>
      </c>
      <c r="I15" s="24" t="s">
        <v>49</v>
      </c>
      <c r="J15" s="19" t="s">
        <v>105</v>
      </c>
    </row>
    <row r="16" spans="2:11" x14ac:dyDescent="0.25">
      <c r="B16" s="58" t="s">
        <v>388</v>
      </c>
      <c r="C16" s="74" t="s">
        <v>389</v>
      </c>
      <c r="D16" s="45" t="s">
        <v>163</v>
      </c>
      <c r="E16" s="45" t="s">
        <v>163</v>
      </c>
      <c r="F16" s="45"/>
      <c r="G16" s="45" t="s">
        <v>49</v>
      </c>
      <c r="H16" s="45" t="s">
        <v>49</v>
      </c>
      <c r="I16" s="45" t="s">
        <v>49</v>
      </c>
      <c r="J16" s="8" t="s">
        <v>164</v>
      </c>
    </row>
    <row r="17" spans="2:10" x14ac:dyDescent="0.25">
      <c r="B17" s="58" t="s">
        <v>390</v>
      </c>
      <c r="C17" s="74" t="s">
        <v>389</v>
      </c>
      <c r="D17" s="74" t="s">
        <v>163</v>
      </c>
      <c r="E17" s="74" t="s">
        <v>163</v>
      </c>
      <c r="F17" s="45"/>
      <c r="G17" s="45"/>
      <c r="H17" s="45" t="s">
        <v>49</v>
      </c>
      <c r="I17" s="45" t="s">
        <v>49</v>
      </c>
      <c r="J17" s="8" t="s">
        <v>164</v>
      </c>
    </row>
    <row r="18" spans="2:10" x14ac:dyDescent="0.25">
      <c r="B18" s="58" t="s">
        <v>75</v>
      </c>
      <c r="C18" s="45">
        <v>5000072</v>
      </c>
      <c r="D18" s="45" t="s">
        <v>391</v>
      </c>
      <c r="E18" s="45" t="s">
        <v>66</v>
      </c>
      <c r="F18" s="45"/>
      <c r="G18" s="45"/>
      <c r="H18" s="45"/>
      <c r="I18" s="45" t="s">
        <v>49</v>
      </c>
      <c r="J18" s="8" t="s">
        <v>110</v>
      </c>
    </row>
    <row r="19" spans="2:10" ht="16.5" thickBot="1" x14ac:dyDescent="0.3">
      <c r="B19" s="30" t="s">
        <v>259</v>
      </c>
      <c r="C19" s="5" t="s">
        <v>70</v>
      </c>
      <c r="D19" s="5" t="s">
        <v>392</v>
      </c>
      <c r="E19" s="5" t="s">
        <v>71</v>
      </c>
      <c r="F19" s="5" t="s">
        <v>49</v>
      </c>
      <c r="G19" s="5" t="s">
        <v>49</v>
      </c>
      <c r="H19" s="5" t="s">
        <v>49</v>
      </c>
      <c r="I19" s="5" t="s">
        <v>49</v>
      </c>
      <c r="J19" s="8" t="s">
        <v>108</v>
      </c>
    </row>
    <row r="22" spans="2:10" x14ac:dyDescent="0.25">
      <c r="B22" s="36" t="s">
        <v>77</v>
      </c>
      <c r="D22" s="21" t="s">
        <v>78</v>
      </c>
    </row>
    <row r="23" spans="2:10" x14ac:dyDescent="0.25">
      <c r="B23" s="36" t="s">
        <v>263</v>
      </c>
      <c r="D23" s="29" t="s">
        <v>264</v>
      </c>
    </row>
    <row r="24" spans="2:10" x14ac:dyDescent="0.25">
      <c r="B24" s="36" t="s">
        <v>80</v>
      </c>
      <c r="D24" s="24" t="s">
        <v>74</v>
      </c>
    </row>
    <row r="25" spans="2:10" x14ac:dyDescent="0.25">
      <c r="B25" s="36" t="s">
        <v>83</v>
      </c>
      <c r="D25" s="45">
        <v>5000072</v>
      </c>
    </row>
    <row r="26" spans="2:10" x14ac:dyDescent="0.25">
      <c r="B26" s="36" t="s">
        <v>84</v>
      </c>
      <c r="D26" s="51" t="s">
        <v>85</v>
      </c>
    </row>
    <row r="27" spans="2:10" x14ac:dyDescent="0.25">
      <c r="B27" t="s">
        <v>172</v>
      </c>
      <c r="C27" s="1"/>
      <c r="D27" s="74" t="s">
        <v>389</v>
      </c>
    </row>
    <row r="28" spans="2:10" x14ac:dyDescent="0.25">
      <c r="B28" s="36" t="s">
        <v>393</v>
      </c>
      <c r="C28" s="1"/>
      <c r="D28" s="74" t="s">
        <v>389</v>
      </c>
    </row>
  </sheetData>
  <mergeCells count="7">
    <mergeCell ref="B2:I2"/>
    <mergeCell ref="J3:J4"/>
    <mergeCell ref="F3:I3"/>
    <mergeCell ref="B3:B4"/>
    <mergeCell ref="C3:C4"/>
    <mergeCell ref="D3:D4"/>
    <mergeCell ref="E3:E4"/>
  </mergeCells>
  <pageMargins left="0.7" right="0.7" top="0.75" bottom="0.75" header="0.3" footer="0.3"/>
  <pageSetup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34"/>
  <sheetViews>
    <sheetView workbookViewId="0">
      <selection activeCell="M21" sqref="M21"/>
    </sheetView>
  </sheetViews>
  <sheetFormatPr defaultColWidth="10.875" defaultRowHeight="15.75" x14ac:dyDescent="0.25"/>
  <cols>
    <col min="2" max="2" width="41.625" bestFit="1" customWidth="1"/>
    <col min="3" max="3" width="11.125" bestFit="1" customWidth="1"/>
    <col min="4" max="4" width="11.125" customWidth="1"/>
    <col min="6" max="12" width="6.125" customWidth="1"/>
    <col min="13" max="13" width="12.125" customWidth="1"/>
  </cols>
  <sheetData>
    <row r="1" spans="2:13" ht="16.5" thickBot="1" x14ac:dyDescent="0.3"/>
    <row r="2" spans="2:13" ht="32.25" thickBot="1" x14ac:dyDescent="0.55000000000000004">
      <c r="B2" s="211" t="s">
        <v>394</v>
      </c>
      <c r="C2" s="212"/>
      <c r="D2" s="212"/>
      <c r="E2" s="212"/>
      <c r="F2" s="212"/>
      <c r="G2" s="212"/>
      <c r="H2" s="212"/>
      <c r="I2" s="212"/>
      <c r="J2" s="212"/>
      <c r="K2" s="212"/>
      <c r="L2" s="213"/>
    </row>
    <row r="3" spans="2:13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4" t="s">
        <v>179</v>
      </c>
      <c r="G3" s="225"/>
      <c r="H3" s="225"/>
      <c r="I3" s="225"/>
      <c r="J3" s="225"/>
      <c r="K3" s="226"/>
      <c r="L3" s="227"/>
      <c r="M3" s="214" t="s">
        <v>114</v>
      </c>
    </row>
    <row r="4" spans="2:13" ht="16.5" thickBot="1" x14ac:dyDescent="0.3">
      <c r="B4" s="229"/>
      <c r="C4" s="219"/>
      <c r="D4" s="230"/>
      <c r="E4" s="231"/>
      <c r="F4" s="9">
        <v>100</v>
      </c>
      <c r="G4" s="9">
        <v>250</v>
      </c>
      <c r="H4" s="9">
        <v>500</v>
      </c>
      <c r="I4" s="9">
        <v>1000</v>
      </c>
      <c r="J4" s="9">
        <v>2000</v>
      </c>
      <c r="K4" s="9">
        <v>4000</v>
      </c>
      <c r="L4" s="9">
        <v>5000</v>
      </c>
      <c r="M4" s="215"/>
    </row>
    <row r="5" spans="2:13" x14ac:dyDescent="0.25">
      <c r="B5" s="77" t="s">
        <v>47</v>
      </c>
      <c r="C5" s="78" t="s">
        <v>395</v>
      </c>
      <c r="D5" s="78">
        <v>1</v>
      </c>
      <c r="E5" s="78"/>
      <c r="F5" s="78"/>
      <c r="G5" s="78" t="s">
        <v>49</v>
      </c>
      <c r="H5" s="78" t="s">
        <v>49</v>
      </c>
      <c r="I5" s="78" t="s">
        <v>49</v>
      </c>
      <c r="J5" s="78" t="s">
        <v>49</v>
      </c>
      <c r="K5" s="97" t="s">
        <v>49</v>
      </c>
      <c r="L5" s="96" t="s">
        <v>49</v>
      </c>
    </row>
    <row r="6" spans="2:13" x14ac:dyDescent="0.25">
      <c r="B6" s="60" t="s">
        <v>338</v>
      </c>
      <c r="C6" s="25" t="s">
        <v>396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69" t="s">
        <v>49</v>
      </c>
      <c r="L6" s="47" t="s">
        <v>49</v>
      </c>
    </row>
    <row r="7" spans="2:13" x14ac:dyDescent="0.25">
      <c r="B7" s="60" t="s">
        <v>397</v>
      </c>
      <c r="C7" s="25" t="s">
        <v>398</v>
      </c>
      <c r="D7" s="25">
        <v>2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  <c r="K7" s="69" t="s">
        <v>49</v>
      </c>
      <c r="L7" s="47" t="s">
        <v>49</v>
      </c>
      <c r="M7" s="25" t="s">
        <v>399</v>
      </c>
    </row>
    <row r="8" spans="2:13" x14ac:dyDescent="0.25">
      <c r="B8" s="60" t="s">
        <v>52</v>
      </c>
      <c r="C8" s="25" t="s">
        <v>148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  <c r="K8" s="69" t="s">
        <v>49</v>
      </c>
      <c r="L8" s="47" t="s">
        <v>49</v>
      </c>
    </row>
    <row r="9" spans="2:13" x14ac:dyDescent="0.25">
      <c r="B9" s="60" t="s">
        <v>54</v>
      </c>
      <c r="C9" s="25" t="s">
        <v>149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  <c r="K9" s="69" t="s">
        <v>49</v>
      </c>
      <c r="L9" s="47" t="s">
        <v>49</v>
      </c>
    </row>
    <row r="10" spans="2:13" x14ac:dyDescent="0.25">
      <c r="B10" s="60" t="s">
        <v>378</v>
      </c>
      <c r="C10" s="25" t="s">
        <v>400</v>
      </c>
      <c r="D10" s="25">
        <v>1</v>
      </c>
      <c r="E10" s="25"/>
      <c r="F10" s="25"/>
      <c r="G10" s="25"/>
      <c r="H10" s="25"/>
      <c r="I10" s="25" t="s">
        <v>49</v>
      </c>
      <c r="J10" s="25" t="s">
        <v>49</v>
      </c>
      <c r="K10" s="69" t="s">
        <v>49</v>
      </c>
      <c r="L10" s="47" t="s">
        <v>49</v>
      </c>
    </row>
    <row r="11" spans="2:13" x14ac:dyDescent="0.25">
      <c r="B11" s="60" t="s">
        <v>380</v>
      </c>
      <c r="C11" s="25" t="s">
        <v>401</v>
      </c>
      <c r="D11" s="25">
        <v>1</v>
      </c>
      <c r="E11" s="25"/>
      <c r="F11" s="25"/>
      <c r="G11" s="25"/>
      <c r="H11" s="133" t="s">
        <v>49</v>
      </c>
      <c r="I11" s="25" t="s">
        <v>49</v>
      </c>
      <c r="J11" s="25" t="s">
        <v>49</v>
      </c>
      <c r="K11" s="69" t="s">
        <v>49</v>
      </c>
      <c r="L11" s="47" t="s">
        <v>49</v>
      </c>
    </row>
    <row r="12" spans="2:13" x14ac:dyDescent="0.25">
      <c r="B12" s="60" t="s">
        <v>402</v>
      </c>
      <c r="C12" s="25" t="s">
        <v>403</v>
      </c>
      <c r="D12" s="25">
        <v>1</v>
      </c>
      <c r="E12" s="25"/>
      <c r="F12" s="25"/>
      <c r="G12" s="25"/>
      <c r="H12" s="133" t="s">
        <v>49</v>
      </c>
      <c r="I12" s="25" t="s">
        <v>49</v>
      </c>
      <c r="J12" s="25" t="s">
        <v>49</v>
      </c>
      <c r="K12" s="69" t="s">
        <v>49</v>
      </c>
      <c r="L12" s="47" t="s">
        <v>49</v>
      </c>
    </row>
    <row r="13" spans="2:13" x14ac:dyDescent="0.25">
      <c r="B13" s="60" t="s">
        <v>404</v>
      </c>
      <c r="C13" s="25" t="s">
        <v>405</v>
      </c>
      <c r="D13" s="25">
        <v>1</v>
      </c>
      <c r="E13" s="25"/>
      <c r="F13" s="25"/>
      <c r="G13" s="25"/>
      <c r="H13" s="133" t="s">
        <v>49</v>
      </c>
      <c r="I13" s="25" t="s">
        <v>49</v>
      </c>
      <c r="J13" s="25" t="s">
        <v>49</v>
      </c>
      <c r="K13" s="69" t="s">
        <v>49</v>
      </c>
      <c r="L13" s="47" t="s">
        <v>49</v>
      </c>
    </row>
    <row r="14" spans="2:13" x14ac:dyDescent="0.25">
      <c r="B14" s="60" t="s">
        <v>406</v>
      </c>
      <c r="C14" s="25" t="s">
        <v>407</v>
      </c>
      <c r="D14" s="25">
        <v>1</v>
      </c>
      <c r="E14" s="25"/>
      <c r="F14" s="25"/>
      <c r="G14" s="25"/>
      <c r="H14" s="25"/>
      <c r="I14" s="25"/>
      <c r="J14" s="25" t="s">
        <v>49</v>
      </c>
      <c r="K14" s="69" t="s">
        <v>49</v>
      </c>
      <c r="L14" s="47" t="s">
        <v>49</v>
      </c>
    </row>
    <row r="15" spans="2:13" x14ac:dyDescent="0.25">
      <c r="B15" s="60" t="s">
        <v>408</v>
      </c>
      <c r="C15" s="25" t="s">
        <v>409</v>
      </c>
      <c r="D15" s="25">
        <v>2</v>
      </c>
      <c r="E15" s="25"/>
      <c r="F15" s="25"/>
      <c r="G15" s="25"/>
      <c r="H15" s="25"/>
      <c r="I15" s="25"/>
      <c r="J15" s="25" t="s">
        <v>49</v>
      </c>
      <c r="K15" s="69" t="s">
        <v>49</v>
      </c>
      <c r="L15" s="47" t="s">
        <v>49</v>
      </c>
    </row>
    <row r="16" spans="2:13" x14ac:dyDescent="0.25">
      <c r="B16" s="60" t="s">
        <v>382</v>
      </c>
      <c r="C16" s="25" t="s">
        <v>410</v>
      </c>
      <c r="D16" s="25">
        <v>1</v>
      </c>
      <c r="E16" s="25"/>
      <c r="F16" s="25"/>
      <c r="G16" s="25"/>
      <c r="H16" s="25"/>
      <c r="I16" s="25"/>
      <c r="J16" s="25" t="s">
        <v>49</v>
      </c>
      <c r="K16" s="69" t="s">
        <v>49</v>
      </c>
      <c r="L16" s="47"/>
    </row>
    <row r="17" spans="2:15" x14ac:dyDescent="0.25">
      <c r="B17" s="60" t="s">
        <v>294</v>
      </c>
      <c r="C17" s="25" t="s">
        <v>411</v>
      </c>
      <c r="D17" s="25">
        <v>2</v>
      </c>
      <c r="E17" s="25"/>
      <c r="F17" s="25"/>
      <c r="G17" s="25"/>
      <c r="H17" s="25" t="s">
        <v>49</v>
      </c>
      <c r="I17" s="25" t="s">
        <v>49</v>
      </c>
      <c r="J17" s="25" t="s">
        <v>49</v>
      </c>
      <c r="K17" s="69" t="s">
        <v>49</v>
      </c>
      <c r="L17" s="47" t="s">
        <v>49</v>
      </c>
    </row>
    <row r="18" spans="2:15" x14ac:dyDescent="0.25">
      <c r="B18" s="60" t="s">
        <v>412</v>
      </c>
      <c r="C18" s="25" t="s">
        <v>413</v>
      </c>
      <c r="D18" s="25">
        <v>1</v>
      </c>
      <c r="E18" s="25"/>
      <c r="F18" s="25"/>
      <c r="G18" s="25"/>
      <c r="H18" s="25"/>
      <c r="I18" s="25"/>
      <c r="J18" s="25" t="s">
        <v>49</v>
      </c>
      <c r="K18" s="69" t="s">
        <v>49</v>
      </c>
      <c r="L18" s="47"/>
    </row>
    <row r="19" spans="2:15" x14ac:dyDescent="0.25">
      <c r="B19" s="10" t="s">
        <v>414</v>
      </c>
      <c r="C19" s="34" t="s">
        <v>415</v>
      </c>
      <c r="D19" s="34">
        <v>1</v>
      </c>
      <c r="E19" s="14"/>
      <c r="F19" s="14"/>
      <c r="G19" s="14"/>
      <c r="H19" s="14"/>
      <c r="I19" s="14"/>
      <c r="J19" s="14"/>
      <c r="K19" s="11"/>
      <c r="L19" s="4" t="s">
        <v>49</v>
      </c>
    </row>
    <row r="20" spans="2:15" x14ac:dyDescent="0.25">
      <c r="B20" s="10" t="s">
        <v>152</v>
      </c>
      <c r="C20" s="14" t="s">
        <v>416</v>
      </c>
      <c r="D20" s="14">
        <v>1</v>
      </c>
      <c r="E20" s="14"/>
      <c r="F20" s="14"/>
      <c r="G20" s="14"/>
      <c r="H20" s="14"/>
      <c r="I20" s="14"/>
      <c r="J20" s="14"/>
      <c r="K20" s="11"/>
      <c r="L20" s="4" t="s">
        <v>49</v>
      </c>
    </row>
    <row r="21" spans="2:15" ht="47.25" x14ac:dyDescent="0.25">
      <c r="B21" s="57" t="s">
        <v>67</v>
      </c>
      <c r="C21" s="183" t="s">
        <v>417</v>
      </c>
      <c r="D21" s="21">
        <v>200</v>
      </c>
      <c r="E21" s="21" t="s">
        <v>66</v>
      </c>
      <c r="F21" s="21"/>
      <c r="G21" s="21"/>
      <c r="H21" s="21"/>
      <c r="I21" s="21"/>
      <c r="J21" s="39" t="s">
        <v>49</v>
      </c>
      <c r="K21" s="39" t="s">
        <v>49</v>
      </c>
      <c r="L21" s="21"/>
      <c r="M21" s="8" t="s">
        <v>418</v>
      </c>
    </row>
    <row r="22" spans="2:15" x14ac:dyDescent="0.25">
      <c r="B22" s="33" t="s">
        <v>64</v>
      </c>
      <c r="C22" s="24" t="s">
        <v>65</v>
      </c>
      <c r="D22" s="24">
        <v>23.5</v>
      </c>
      <c r="E22" s="24" t="s">
        <v>66</v>
      </c>
      <c r="F22" s="24"/>
      <c r="G22" s="24" t="s">
        <v>49</v>
      </c>
      <c r="H22" s="24" t="s">
        <v>49</v>
      </c>
      <c r="I22" s="24" t="s">
        <v>49</v>
      </c>
      <c r="J22" s="24" t="s">
        <v>49</v>
      </c>
      <c r="K22" s="35" t="s">
        <v>49</v>
      </c>
      <c r="L22" s="32" t="s">
        <v>49</v>
      </c>
      <c r="M22" s="8" t="s">
        <v>105</v>
      </c>
    </row>
    <row r="23" spans="2:15" x14ac:dyDescent="0.25">
      <c r="B23" s="60" t="s">
        <v>388</v>
      </c>
      <c r="C23" s="26" t="s">
        <v>249</v>
      </c>
      <c r="D23" s="25" t="s">
        <v>419</v>
      </c>
      <c r="E23" s="25" t="s">
        <v>66</v>
      </c>
      <c r="F23" s="25"/>
      <c r="G23" s="104"/>
      <c r="H23" s="104" t="s">
        <v>49</v>
      </c>
      <c r="I23" s="25" t="s">
        <v>49</v>
      </c>
      <c r="J23" s="25" t="s">
        <v>49</v>
      </c>
      <c r="K23" s="69" t="s">
        <v>49</v>
      </c>
      <c r="L23" s="47" t="s">
        <v>49</v>
      </c>
      <c r="M23" s="8" t="s">
        <v>420</v>
      </c>
    </row>
    <row r="24" spans="2:15" x14ac:dyDescent="0.25">
      <c r="B24" s="60" t="s">
        <v>390</v>
      </c>
      <c r="C24" s="26" t="s">
        <v>249</v>
      </c>
      <c r="D24" s="26" t="s">
        <v>421</v>
      </c>
      <c r="E24" s="26" t="s">
        <v>66</v>
      </c>
      <c r="F24" s="25"/>
      <c r="G24" s="104"/>
      <c r="H24" s="104" t="s">
        <v>49</v>
      </c>
      <c r="I24" s="25" t="s">
        <v>49</v>
      </c>
      <c r="J24" s="25" t="s">
        <v>49</v>
      </c>
      <c r="K24" s="69" t="s">
        <v>49</v>
      </c>
      <c r="L24" s="47" t="s">
        <v>49</v>
      </c>
      <c r="M24" s="8" t="s">
        <v>250</v>
      </c>
    </row>
    <row r="25" spans="2:15" x14ac:dyDescent="0.25">
      <c r="B25" s="58" t="s">
        <v>75</v>
      </c>
      <c r="C25" s="45">
        <v>5000072</v>
      </c>
      <c r="D25" s="45" t="s">
        <v>280</v>
      </c>
      <c r="E25" s="45" t="s">
        <v>66</v>
      </c>
      <c r="F25" s="45"/>
      <c r="G25" s="45"/>
      <c r="H25" s="45"/>
      <c r="I25" s="45"/>
      <c r="J25" s="45"/>
      <c r="K25" s="71" t="s">
        <v>49</v>
      </c>
      <c r="L25" s="54"/>
      <c r="M25" s="8" t="s">
        <v>422</v>
      </c>
    </row>
    <row r="26" spans="2:15" ht="16.5" thickBot="1" x14ac:dyDescent="0.3">
      <c r="B26" s="30" t="s">
        <v>259</v>
      </c>
      <c r="C26" s="5" t="s">
        <v>70</v>
      </c>
      <c r="D26" s="5" t="s">
        <v>392</v>
      </c>
      <c r="E26" s="5" t="s">
        <v>71</v>
      </c>
      <c r="F26" s="5" t="s">
        <v>49</v>
      </c>
      <c r="G26" s="5" t="s">
        <v>49</v>
      </c>
      <c r="H26" s="5" t="s">
        <v>49</v>
      </c>
      <c r="I26" s="5" t="s">
        <v>49</v>
      </c>
      <c r="J26" s="5" t="s">
        <v>49</v>
      </c>
      <c r="K26" s="68" t="s">
        <v>49</v>
      </c>
      <c r="L26" s="6" t="s">
        <v>49</v>
      </c>
      <c r="M26" s="8" t="s">
        <v>108</v>
      </c>
    </row>
    <row r="27" spans="2:15" x14ac:dyDescent="0.25">
      <c r="C27" s="1"/>
      <c r="D27" s="1"/>
      <c r="E27" s="1"/>
      <c r="F27" s="1" t="s">
        <v>202</v>
      </c>
      <c r="G27" s="1" t="s">
        <v>203</v>
      </c>
      <c r="H27" s="1"/>
      <c r="I27" s="1"/>
      <c r="J27" s="1"/>
      <c r="K27" s="1"/>
      <c r="L27" s="1"/>
    </row>
    <row r="28" spans="2:15" ht="15.6" customHeight="1" x14ac:dyDescent="0.25">
      <c r="B28" s="36" t="s">
        <v>80</v>
      </c>
      <c r="C28" s="24" t="s">
        <v>74</v>
      </c>
      <c r="G28" s="122" t="s">
        <v>204</v>
      </c>
      <c r="H28" s="245" t="s">
        <v>423</v>
      </c>
      <c r="I28" s="245"/>
      <c r="J28" s="245"/>
      <c r="K28" s="245"/>
      <c r="L28" s="245"/>
      <c r="M28" s="245"/>
      <c r="N28" s="245"/>
      <c r="O28" s="245"/>
    </row>
    <row r="29" spans="2:15" x14ac:dyDescent="0.25">
      <c r="B29" s="36" t="s">
        <v>77</v>
      </c>
      <c r="C29" s="21" t="s">
        <v>78</v>
      </c>
      <c r="H29" s="245"/>
      <c r="I29" s="245"/>
      <c r="J29" s="245"/>
      <c r="K29" s="245"/>
      <c r="L29" s="245"/>
      <c r="M29" s="245"/>
      <c r="N29" s="245"/>
      <c r="O29" s="245"/>
    </row>
    <row r="30" spans="2:15" ht="15.6" customHeight="1" x14ac:dyDescent="0.25">
      <c r="B30" s="36" t="s">
        <v>260</v>
      </c>
      <c r="C30" s="26" t="s">
        <v>262</v>
      </c>
      <c r="H30" s="245"/>
      <c r="I30" s="245"/>
      <c r="J30" s="245"/>
      <c r="K30" s="245"/>
      <c r="L30" s="245"/>
      <c r="M30" s="245"/>
      <c r="N30" s="245"/>
      <c r="O30" s="245"/>
    </row>
    <row r="31" spans="2:15" x14ac:dyDescent="0.25">
      <c r="B31" s="36" t="s">
        <v>83</v>
      </c>
      <c r="C31" s="45">
        <v>5000072</v>
      </c>
      <c r="G31" s="134" t="s">
        <v>204</v>
      </c>
      <c r="H31" s="135" t="s">
        <v>424</v>
      </c>
    </row>
    <row r="32" spans="2:15" ht="15.6" customHeight="1" x14ac:dyDescent="0.25">
      <c r="B32" s="36" t="s">
        <v>84</v>
      </c>
      <c r="C32" s="51" t="s">
        <v>85</v>
      </c>
      <c r="H32" s="246" t="s">
        <v>425</v>
      </c>
      <c r="I32" s="246"/>
      <c r="J32" s="246"/>
      <c r="K32" s="246"/>
      <c r="L32" s="246"/>
      <c r="M32" s="246"/>
      <c r="N32" s="246"/>
      <c r="O32" s="246"/>
    </row>
    <row r="33" spans="8:15" x14ac:dyDescent="0.25">
      <c r="H33" s="246"/>
      <c r="I33" s="246"/>
      <c r="J33" s="246"/>
      <c r="K33" s="246"/>
      <c r="L33" s="246"/>
      <c r="M33" s="246"/>
      <c r="N33" s="246"/>
      <c r="O33" s="246"/>
    </row>
    <row r="34" spans="8:15" x14ac:dyDescent="0.25">
      <c r="H34" s="136"/>
      <c r="I34" s="136"/>
      <c r="J34" s="136"/>
      <c r="K34" s="136"/>
      <c r="L34" s="136"/>
      <c r="M34" s="136"/>
      <c r="N34" s="136"/>
      <c r="O34" s="136"/>
    </row>
  </sheetData>
  <mergeCells count="9">
    <mergeCell ref="B2:L2"/>
    <mergeCell ref="H28:O30"/>
    <mergeCell ref="H32:O33"/>
    <mergeCell ref="B3:B4"/>
    <mergeCell ref="C3:C4"/>
    <mergeCell ref="D3:D4"/>
    <mergeCell ref="E3:E4"/>
    <mergeCell ref="F3:L3"/>
    <mergeCell ref="M3:M4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42"/>
  <sheetViews>
    <sheetView topLeftCell="B1" zoomScaleNormal="100" workbookViewId="0">
      <selection activeCell="C30" sqref="C30"/>
    </sheetView>
  </sheetViews>
  <sheetFormatPr defaultColWidth="10.875" defaultRowHeight="15.75" x14ac:dyDescent="0.25"/>
  <cols>
    <col min="2" max="2" width="49.625" customWidth="1"/>
    <col min="3" max="3" width="11.125" style="1" bestFit="1" customWidth="1"/>
    <col min="4" max="4" width="12.875" style="1" customWidth="1"/>
    <col min="5" max="5" width="3.875" style="1" customWidth="1"/>
    <col min="6" max="6" width="5.25" style="1" customWidth="1"/>
    <col min="7" max="7" width="5" style="1" customWidth="1"/>
    <col min="8" max="8" width="5.375" style="1" customWidth="1"/>
    <col min="9" max="9" width="6.125" style="1" bestFit="1" customWidth="1"/>
    <col min="10" max="11" width="6.125" style="1" customWidth="1"/>
    <col min="12" max="12" width="12.375" customWidth="1"/>
    <col min="13" max="14" width="10.875" bestFit="1" customWidth="1"/>
  </cols>
  <sheetData>
    <row r="1" spans="2:13" ht="16.5" thickBot="1" x14ac:dyDescent="0.3"/>
    <row r="2" spans="2:13" ht="32.25" thickBot="1" x14ac:dyDescent="0.55000000000000004">
      <c r="B2" s="211" t="s">
        <v>426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3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7"/>
      <c r="L3" s="214" t="s">
        <v>114</v>
      </c>
    </row>
    <row r="4" spans="2:13" ht="17.100000000000001" customHeight="1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9">
        <v>5000</v>
      </c>
      <c r="L4" s="215"/>
    </row>
    <row r="5" spans="2:13" x14ac:dyDescent="0.25">
      <c r="B5" s="77" t="s">
        <v>47</v>
      </c>
      <c r="C5" s="78" t="s">
        <v>427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6" t="s">
        <v>49</v>
      </c>
      <c r="L5" s="107" t="s">
        <v>428</v>
      </c>
      <c r="M5" s="119" t="s">
        <v>429</v>
      </c>
    </row>
    <row r="6" spans="2:13" x14ac:dyDescent="0.25">
      <c r="B6" s="60" t="s">
        <v>338</v>
      </c>
      <c r="C6" s="25" t="s">
        <v>430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47" t="s">
        <v>49</v>
      </c>
      <c r="L6" s="107" t="s">
        <v>431</v>
      </c>
    </row>
    <row r="7" spans="2:13" x14ac:dyDescent="0.25">
      <c r="B7" s="60" t="s">
        <v>432</v>
      </c>
      <c r="C7" s="25" t="s">
        <v>433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47" t="s">
        <v>49</v>
      </c>
      <c r="L7" s="107" t="s">
        <v>434</v>
      </c>
    </row>
    <row r="8" spans="2:13" x14ac:dyDescent="0.25">
      <c r="B8" s="60" t="s">
        <v>435</v>
      </c>
      <c r="C8" s="25" t="s">
        <v>436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69" t="s">
        <v>49</v>
      </c>
      <c r="K8" s="47" t="s">
        <v>49</v>
      </c>
    </row>
    <row r="9" spans="2:13" x14ac:dyDescent="0.25">
      <c r="B9" s="60" t="s">
        <v>52</v>
      </c>
      <c r="C9" s="25" t="s">
        <v>437</v>
      </c>
      <c r="D9" s="25">
        <v>1</v>
      </c>
      <c r="E9" s="25"/>
      <c r="F9" s="25"/>
      <c r="G9" s="25" t="s">
        <v>49</v>
      </c>
      <c r="H9" s="25" t="s">
        <v>49</v>
      </c>
      <c r="I9" s="25" t="s">
        <v>49</v>
      </c>
      <c r="J9" s="69" t="s">
        <v>49</v>
      </c>
      <c r="K9" s="47" t="s">
        <v>49</v>
      </c>
    </row>
    <row r="10" spans="2:13" x14ac:dyDescent="0.25">
      <c r="B10" s="60" t="s">
        <v>54</v>
      </c>
      <c r="C10" s="25" t="s">
        <v>438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69" t="s">
        <v>49</v>
      </c>
      <c r="K10" s="47" t="s">
        <v>49</v>
      </c>
    </row>
    <row r="11" spans="2:13" x14ac:dyDescent="0.25">
      <c r="B11" s="60" t="s">
        <v>378</v>
      </c>
      <c r="C11" s="25" t="s">
        <v>400</v>
      </c>
      <c r="D11" s="25">
        <v>1</v>
      </c>
      <c r="E11" s="25"/>
      <c r="F11" s="25"/>
      <c r="G11" s="25"/>
      <c r="H11" s="25" t="s">
        <v>49</v>
      </c>
      <c r="I11" s="25" t="s">
        <v>49</v>
      </c>
      <c r="J11" s="69" t="s">
        <v>49</v>
      </c>
      <c r="K11" s="47" t="s">
        <v>49</v>
      </c>
    </row>
    <row r="12" spans="2:13" x14ac:dyDescent="0.25">
      <c r="B12" s="60" t="s">
        <v>404</v>
      </c>
      <c r="C12" s="25" t="s">
        <v>405</v>
      </c>
      <c r="D12" s="25">
        <v>1</v>
      </c>
      <c r="E12" s="25"/>
      <c r="F12" s="25"/>
      <c r="G12" s="133" t="s">
        <v>49</v>
      </c>
      <c r="H12" s="25" t="s">
        <v>49</v>
      </c>
      <c r="I12" s="25" t="s">
        <v>49</v>
      </c>
      <c r="J12" s="69" t="s">
        <v>49</v>
      </c>
      <c r="K12" s="47" t="s">
        <v>49</v>
      </c>
    </row>
    <row r="13" spans="2:13" x14ac:dyDescent="0.25">
      <c r="B13" s="60" t="s">
        <v>380</v>
      </c>
      <c r="C13" s="25" t="s">
        <v>439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69" t="s">
        <v>49</v>
      </c>
      <c r="K13" s="47" t="s">
        <v>49</v>
      </c>
    </row>
    <row r="14" spans="2:13" x14ac:dyDescent="0.25">
      <c r="B14" s="60" t="s">
        <v>402</v>
      </c>
      <c r="C14" s="25" t="s">
        <v>403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47" t="s">
        <v>49</v>
      </c>
    </row>
    <row r="15" spans="2:13" x14ac:dyDescent="0.25">
      <c r="B15" s="60" t="s">
        <v>382</v>
      </c>
      <c r="C15" s="25" t="s">
        <v>440</v>
      </c>
      <c r="D15" s="25">
        <v>1</v>
      </c>
      <c r="E15" s="25"/>
      <c r="F15" s="25"/>
      <c r="G15" s="25"/>
      <c r="H15" s="25"/>
      <c r="I15" s="25" t="s">
        <v>49</v>
      </c>
      <c r="J15" s="69" t="s">
        <v>49</v>
      </c>
      <c r="K15" s="47"/>
    </row>
    <row r="16" spans="2:13" x14ac:dyDescent="0.25">
      <c r="B16" s="60" t="s">
        <v>294</v>
      </c>
      <c r="C16" s="25" t="s">
        <v>411</v>
      </c>
      <c r="D16" s="25">
        <v>2</v>
      </c>
      <c r="E16" s="25"/>
      <c r="F16" s="25"/>
      <c r="G16" s="25" t="s">
        <v>49</v>
      </c>
      <c r="H16" s="25" t="s">
        <v>49</v>
      </c>
      <c r="I16" s="25" t="s">
        <v>49</v>
      </c>
      <c r="J16" s="69" t="s">
        <v>49</v>
      </c>
      <c r="K16" s="47" t="s">
        <v>49</v>
      </c>
    </row>
    <row r="17" spans="2:12" x14ac:dyDescent="0.25">
      <c r="B17" s="60" t="s">
        <v>412</v>
      </c>
      <c r="C17" s="25" t="s">
        <v>441</v>
      </c>
      <c r="D17" s="25">
        <v>1</v>
      </c>
      <c r="E17" s="25"/>
      <c r="F17" s="25"/>
      <c r="G17" s="25"/>
      <c r="H17" s="25"/>
      <c r="I17" s="25" t="s">
        <v>49</v>
      </c>
      <c r="J17" s="69" t="s">
        <v>49</v>
      </c>
      <c r="K17" s="47"/>
    </row>
    <row r="18" spans="2:12" x14ac:dyDescent="0.25">
      <c r="B18" s="10" t="s">
        <v>414</v>
      </c>
      <c r="C18" s="34" t="s">
        <v>442</v>
      </c>
      <c r="D18" s="34">
        <v>1</v>
      </c>
      <c r="E18" s="14"/>
      <c r="F18" s="14"/>
      <c r="G18" s="14"/>
      <c r="H18" s="14"/>
      <c r="I18" s="14"/>
      <c r="J18" s="11"/>
      <c r="K18" s="4" t="s">
        <v>49</v>
      </c>
    </row>
    <row r="19" spans="2:12" x14ac:dyDescent="0.25">
      <c r="B19" s="10" t="s">
        <v>152</v>
      </c>
      <c r="C19" s="14" t="s">
        <v>443</v>
      </c>
      <c r="D19" s="14">
        <v>1</v>
      </c>
      <c r="E19" s="14"/>
      <c r="F19" s="14"/>
      <c r="G19" s="14"/>
      <c r="H19" s="14"/>
      <c r="I19" s="14"/>
      <c r="J19" s="11"/>
      <c r="K19" s="4" t="s">
        <v>49</v>
      </c>
    </row>
    <row r="20" spans="2:12" x14ac:dyDescent="0.25">
      <c r="B20" s="248" t="s">
        <v>444</v>
      </c>
      <c r="C20" s="14" t="s">
        <v>445</v>
      </c>
      <c r="D20" s="14">
        <v>1</v>
      </c>
      <c r="E20" s="14"/>
      <c r="F20" s="14"/>
      <c r="G20" s="14"/>
      <c r="H20" s="14"/>
      <c r="I20" s="14"/>
      <c r="J20" s="11" t="s">
        <v>49</v>
      </c>
      <c r="K20" s="4"/>
    </row>
    <row r="21" spans="2:12" x14ac:dyDescent="0.25">
      <c r="B21" s="249"/>
      <c r="C21" s="14" t="s">
        <v>446</v>
      </c>
      <c r="D21" s="14">
        <v>1</v>
      </c>
      <c r="E21" s="14"/>
      <c r="F21" s="14"/>
      <c r="G21" s="14"/>
      <c r="H21" s="14"/>
      <c r="I21" s="14"/>
      <c r="J21" s="11" t="s">
        <v>49</v>
      </c>
      <c r="K21" s="4"/>
    </row>
    <row r="22" spans="2:12" x14ac:dyDescent="0.25">
      <c r="B22" s="249"/>
      <c r="C22" s="14" t="s">
        <v>447</v>
      </c>
      <c r="D22" s="14">
        <v>2</v>
      </c>
      <c r="E22" s="14"/>
      <c r="F22" s="14"/>
      <c r="G22" s="14"/>
      <c r="H22" s="14"/>
      <c r="I22" s="14"/>
      <c r="J22" s="11" t="s">
        <v>49</v>
      </c>
      <c r="K22" s="4"/>
    </row>
    <row r="23" spans="2:12" x14ac:dyDescent="0.25">
      <c r="B23" s="250"/>
      <c r="C23" s="14" t="s">
        <v>448</v>
      </c>
      <c r="D23" s="14">
        <v>2</v>
      </c>
      <c r="E23" s="14"/>
      <c r="F23" s="14"/>
      <c r="G23" s="14"/>
      <c r="H23" s="14"/>
      <c r="I23" s="14"/>
      <c r="J23" s="11" t="s">
        <v>49</v>
      </c>
      <c r="K23" s="4"/>
    </row>
    <row r="24" spans="2:12" x14ac:dyDescent="0.25">
      <c r="B24" s="10" t="s">
        <v>449</v>
      </c>
      <c r="C24" s="14" t="s">
        <v>450</v>
      </c>
      <c r="D24" s="14">
        <v>4</v>
      </c>
      <c r="E24" s="14"/>
      <c r="F24" s="14"/>
      <c r="G24" s="14"/>
      <c r="H24" s="14"/>
      <c r="I24" s="14"/>
      <c r="J24" s="11" t="s">
        <v>49</v>
      </c>
      <c r="K24" s="4"/>
    </row>
    <row r="25" spans="2:12" x14ac:dyDescent="0.25">
      <c r="B25" s="10" t="s">
        <v>451</v>
      </c>
      <c r="C25" s="14" t="s">
        <v>452</v>
      </c>
      <c r="D25" s="14">
        <v>2</v>
      </c>
      <c r="E25" s="14"/>
      <c r="F25" s="14"/>
      <c r="G25" s="14"/>
      <c r="H25" s="14"/>
      <c r="I25" s="14"/>
      <c r="J25" s="11" t="s">
        <v>49</v>
      </c>
      <c r="K25" s="4"/>
    </row>
    <row r="26" spans="2:12" x14ac:dyDescent="0.25">
      <c r="B26" s="248" t="s">
        <v>316</v>
      </c>
      <c r="C26" s="14" t="s">
        <v>453</v>
      </c>
      <c r="D26" s="14">
        <v>1</v>
      </c>
      <c r="E26" s="14"/>
      <c r="F26" s="14"/>
      <c r="G26" s="14"/>
      <c r="H26" s="14"/>
      <c r="I26" s="14"/>
      <c r="J26" s="11" t="s">
        <v>49</v>
      </c>
      <c r="K26" s="4"/>
    </row>
    <row r="27" spans="2:12" x14ac:dyDescent="0.25">
      <c r="B27" s="249"/>
      <c r="C27" s="14" t="s">
        <v>454</v>
      </c>
      <c r="D27" s="14">
        <v>1</v>
      </c>
      <c r="E27" s="14"/>
      <c r="F27" s="14"/>
      <c r="G27" s="14"/>
      <c r="H27" s="14"/>
      <c r="I27" s="14"/>
      <c r="J27" s="11" t="s">
        <v>49</v>
      </c>
      <c r="K27" s="4"/>
    </row>
    <row r="28" spans="2:12" x14ac:dyDescent="0.25">
      <c r="B28" s="250"/>
      <c r="C28" s="14" t="s">
        <v>455</v>
      </c>
      <c r="D28" s="14">
        <v>1</v>
      </c>
      <c r="E28" s="14"/>
      <c r="F28" s="14"/>
      <c r="G28" s="14"/>
      <c r="H28" s="14"/>
      <c r="I28" s="14"/>
      <c r="J28" s="11" t="s">
        <v>49</v>
      </c>
      <c r="K28" s="4"/>
    </row>
    <row r="29" spans="2:12" ht="47.25" x14ac:dyDescent="0.25">
      <c r="B29" s="57" t="s">
        <v>67</v>
      </c>
      <c r="C29" s="183" t="s">
        <v>417</v>
      </c>
      <c r="D29" s="21">
        <v>200</v>
      </c>
      <c r="E29" s="21" t="s">
        <v>66</v>
      </c>
      <c r="F29" s="21"/>
      <c r="G29" s="21"/>
      <c r="H29" s="21"/>
      <c r="I29" s="39" t="s">
        <v>49</v>
      </c>
      <c r="J29" s="39" t="s">
        <v>49</v>
      </c>
      <c r="K29" s="21"/>
      <c r="L29" s="8" t="s">
        <v>418</v>
      </c>
    </row>
    <row r="30" spans="2:12" x14ac:dyDescent="0.25">
      <c r="B30" s="33" t="s">
        <v>64</v>
      </c>
      <c r="C30" s="24" t="s">
        <v>65</v>
      </c>
      <c r="D30" s="24" t="s">
        <v>456</v>
      </c>
      <c r="E30" s="24" t="s">
        <v>66</v>
      </c>
      <c r="F30" s="24" t="s">
        <v>49</v>
      </c>
      <c r="G30" s="24" t="s">
        <v>49</v>
      </c>
      <c r="H30" s="24" t="s">
        <v>49</v>
      </c>
      <c r="I30" s="24" t="s">
        <v>49</v>
      </c>
      <c r="J30" s="35" t="s">
        <v>49</v>
      </c>
      <c r="K30" s="32" t="s">
        <v>49</v>
      </c>
      <c r="L30" s="8" t="s">
        <v>105</v>
      </c>
    </row>
    <row r="31" spans="2:12" x14ac:dyDescent="0.25">
      <c r="B31" s="60" t="s">
        <v>388</v>
      </c>
      <c r="C31" s="26" t="s">
        <v>249</v>
      </c>
      <c r="D31" s="25" t="s">
        <v>419</v>
      </c>
      <c r="E31" s="25" t="s">
        <v>66</v>
      </c>
      <c r="F31" s="104"/>
      <c r="G31" s="104" t="s">
        <v>49</v>
      </c>
      <c r="H31" s="25" t="s">
        <v>49</v>
      </c>
      <c r="I31" s="25" t="s">
        <v>49</v>
      </c>
      <c r="J31" s="69" t="s">
        <v>49</v>
      </c>
      <c r="K31" s="47" t="s">
        <v>49</v>
      </c>
      <c r="L31" s="8" t="s">
        <v>420</v>
      </c>
    </row>
    <row r="32" spans="2:12" x14ac:dyDescent="0.25">
      <c r="B32" s="60" t="s">
        <v>390</v>
      </c>
      <c r="C32" s="26" t="s">
        <v>249</v>
      </c>
      <c r="D32" s="26" t="s">
        <v>457</v>
      </c>
      <c r="E32" s="26" t="s">
        <v>66</v>
      </c>
      <c r="F32" s="104"/>
      <c r="G32" s="104" t="s">
        <v>49</v>
      </c>
      <c r="H32" s="25" t="s">
        <v>49</v>
      </c>
      <c r="I32" s="25" t="s">
        <v>49</v>
      </c>
      <c r="J32" s="69" t="s">
        <v>49</v>
      </c>
      <c r="K32" s="47" t="s">
        <v>49</v>
      </c>
      <c r="L32" s="8" t="s">
        <v>250</v>
      </c>
    </row>
    <row r="33" spans="2:15" x14ac:dyDescent="0.25">
      <c r="B33" s="58" t="s">
        <v>75</v>
      </c>
      <c r="C33" s="45">
        <v>5000072</v>
      </c>
      <c r="D33" s="45" t="s">
        <v>458</v>
      </c>
      <c r="E33" s="45" t="s">
        <v>66</v>
      </c>
      <c r="F33" s="45"/>
      <c r="G33" s="45"/>
      <c r="H33" s="45"/>
      <c r="I33" s="45" t="s">
        <v>49</v>
      </c>
      <c r="J33" s="71" t="s">
        <v>49</v>
      </c>
      <c r="K33" s="54"/>
      <c r="L33" s="8" t="s">
        <v>422</v>
      </c>
    </row>
    <row r="34" spans="2:15" ht="16.5" thickBot="1" x14ac:dyDescent="0.3">
      <c r="B34" s="30" t="s">
        <v>259</v>
      </c>
      <c r="C34" s="5" t="s">
        <v>70</v>
      </c>
      <c r="D34" s="5" t="s">
        <v>392</v>
      </c>
      <c r="E34" s="5" t="s">
        <v>71</v>
      </c>
      <c r="F34" s="5" t="s">
        <v>49</v>
      </c>
      <c r="G34" s="5" t="s">
        <v>49</v>
      </c>
      <c r="H34" s="5" t="s">
        <v>49</v>
      </c>
      <c r="I34" s="5" t="s">
        <v>49</v>
      </c>
      <c r="J34" s="68" t="s">
        <v>49</v>
      </c>
      <c r="K34" s="6" t="s">
        <v>49</v>
      </c>
      <c r="L34" s="8" t="s">
        <v>108</v>
      </c>
    </row>
    <row r="36" spans="2:15" x14ac:dyDescent="0.25">
      <c r="B36" s="36" t="s">
        <v>80</v>
      </c>
      <c r="C36" s="24" t="s">
        <v>74</v>
      </c>
      <c r="D36"/>
      <c r="E36"/>
      <c r="F36" t="s">
        <v>203</v>
      </c>
      <c r="G36"/>
      <c r="H36"/>
      <c r="I36"/>
      <c r="J36"/>
      <c r="K36"/>
    </row>
    <row r="37" spans="2:15" ht="15.6" customHeight="1" x14ac:dyDescent="0.25">
      <c r="B37" s="36" t="s">
        <v>77</v>
      </c>
      <c r="C37" s="21" t="s">
        <v>78</v>
      </c>
      <c r="D37"/>
      <c r="E37"/>
      <c r="F37" s="122" t="s">
        <v>204</v>
      </c>
      <c r="G37" s="247" t="s">
        <v>459</v>
      </c>
      <c r="H37" s="247"/>
      <c r="I37" s="247"/>
      <c r="J37" s="247"/>
      <c r="K37" s="247"/>
      <c r="L37" s="247"/>
      <c r="M37" s="247"/>
      <c r="N37" s="132"/>
      <c r="O37" s="132"/>
    </row>
    <row r="38" spans="2:15" x14ac:dyDescent="0.25">
      <c r="B38" s="36" t="s">
        <v>260</v>
      </c>
      <c r="C38" s="26" t="s">
        <v>262</v>
      </c>
      <c r="D38"/>
      <c r="E38"/>
      <c r="F38"/>
      <c r="G38" s="247"/>
      <c r="H38" s="247"/>
      <c r="I38" s="247"/>
      <c r="J38" s="247"/>
      <c r="K38" s="247"/>
      <c r="L38" s="247"/>
      <c r="M38" s="247"/>
      <c r="N38" s="132"/>
      <c r="O38" s="132"/>
    </row>
    <row r="39" spans="2:15" x14ac:dyDescent="0.25">
      <c r="B39" s="36" t="s">
        <v>170</v>
      </c>
      <c r="C39" s="22" t="s">
        <v>171</v>
      </c>
      <c r="D39"/>
      <c r="E39"/>
      <c r="F39"/>
      <c r="G39" s="247"/>
      <c r="H39" s="247"/>
      <c r="I39" s="247"/>
      <c r="J39" s="247"/>
      <c r="K39" s="247"/>
      <c r="L39" s="247"/>
      <c r="M39" s="247"/>
      <c r="N39" s="132"/>
      <c r="O39" s="132"/>
    </row>
    <row r="40" spans="2:15" x14ac:dyDescent="0.25">
      <c r="B40" s="36" t="s">
        <v>83</v>
      </c>
      <c r="C40" s="45">
        <v>5000072</v>
      </c>
      <c r="D40"/>
      <c r="E40"/>
      <c r="F40" s="134" t="s">
        <v>204</v>
      </c>
      <c r="G40" s="135" t="s">
        <v>424</v>
      </c>
      <c r="H40" s="132"/>
      <c r="I40" s="132"/>
      <c r="J40" s="132"/>
      <c r="K40" s="132"/>
      <c r="L40" s="132"/>
      <c r="M40" s="132"/>
      <c r="N40" s="132"/>
      <c r="O40" s="132"/>
    </row>
    <row r="41" spans="2:15" x14ac:dyDescent="0.25">
      <c r="B41" s="36" t="s">
        <v>84</v>
      </c>
      <c r="C41" s="51" t="s">
        <v>85</v>
      </c>
      <c r="D41"/>
      <c r="E41"/>
      <c r="F41"/>
      <c r="G41" s="246" t="s">
        <v>425</v>
      </c>
      <c r="H41" s="246"/>
      <c r="I41" s="246"/>
      <c r="J41" s="246"/>
      <c r="K41" s="246"/>
      <c r="L41" s="246"/>
      <c r="M41" s="246"/>
      <c r="N41" s="246"/>
    </row>
    <row r="42" spans="2:15" x14ac:dyDescent="0.25">
      <c r="G42" s="246"/>
      <c r="H42" s="246"/>
      <c r="I42" s="246"/>
      <c r="J42" s="246"/>
      <c r="K42" s="246"/>
      <c r="L42" s="246"/>
      <c r="M42" s="246"/>
      <c r="N42" s="246"/>
    </row>
  </sheetData>
  <mergeCells count="11">
    <mergeCell ref="B2:K2"/>
    <mergeCell ref="G37:M39"/>
    <mergeCell ref="G41:N42"/>
    <mergeCell ref="B26:B28"/>
    <mergeCell ref="B3:B4"/>
    <mergeCell ref="C3:C4"/>
    <mergeCell ref="D3:D4"/>
    <mergeCell ref="F3:K3"/>
    <mergeCell ref="B20:B23"/>
    <mergeCell ref="E3:E4"/>
    <mergeCell ref="L3:L4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42"/>
  <sheetViews>
    <sheetView zoomScaleNormal="100" workbookViewId="0"/>
  </sheetViews>
  <sheetFormatPr defaultColWidth="11" defaultRowHeight="15.75" x14ac:dyDescent="0.25"/>
  <cols>
    <col min="2" max="2" width="41" bestFit="1" customWidth="1"/>
    <col min="6" max="6" width="6.125" customWidth="1"/>
    <col min="7" max="7" width="5" customWidth="1"/>
    <col min="8" max="8" width="6" customWidth="1"/>
    <col min="9" max="9" width="5.5" customWidth="1"/>
    <col min="10" max="11" width="5.875" customWidth="1"/>
    <col min="12" max="12" width="12.5" customWidth="1"/>
  </cols>
  <sheetData>
    <row r="1" spans="2:13" ht="16.5" thickBot="1" x14ac:dyDescent="0.3"/>
    <row r="2" spans="2:13" ht="32.25" thickBot="1" x14ac:dyDescent="0.55000000000000004">
      <c r="B2" s="211" t="s">
        <v>460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3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7"/>
      <c r="L3" s="214" t="s">
        <v>114</v>
      </c>
    </row>
    <row r="4" spans="2:13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9">
        <v>5000</v>
      </c>
      <c r="L4" s="215"/>
    </row>
    <row r="5" spans="2:13" x14ac:dyDescent="0.25">
      <c r="B5" s="77" t="s">
        <v>47</v>
      </c>
      <c r="C5" s="78" t="s">
        <v>461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6" t="s">
        <v>49</v>
      </c>
    </row>
    <row r="6" spans="2:13" x14ac:dyDescent="0.25">
      <c r="B6" s="60" t="s">
        <v>338</v>
      </c>
      <c r="C6" s="25" t="s">
        <v>462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47" t="s">
        <v>49</v>
      </c>
    </row>
    <row r="7" spans="2:13" x14ac:dyDescent="0.25">
      <c r="B7" s="60" t="s">
        <v>463</v>
      </c>
      <c r="C7" s="25" t="s">
        <v>464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47" t="s">
        <v>49</v>
      </c>
    </row>
    <row r="8" spans="2:13" x14ac:dyDescent="0.25">
      <c r="B8" s="60" t="s">
        <v>465</v>
      </c>
      <c r="C8" s="25" t="s">
        <v>466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69" t="s">
        <v>49</v>
      </c>
      <c r="K8" s="47" t="s">
        <v>49</v>
      </c>
    </row>
    <row r="9" spans="2:13" x14ac:dyDescent="0.25">
      <c r="B9" s="60" t="s">
        <v>52</v>
      </c>
      <c r="C9" s="25" t="s">
        <v>437</v>
      </c>
      <c r="D9" s="25">
        <v>1</v>
      </c>
      <c r="E9" s="25"/>
      <c r="F9" s="25"/>
      <c r="G9" s="25" t="s">
        <v>49</v>
      </c>
      <c r="H9" s="25" t="s">
        <v>49</v>
      </c>
      <c r="I9" s="25" t="s">
        <v>49</v>
      </c>
      <c r="J9" s="69" t="s">
        <v>49</v>
      </c>
      <c r="K9" s="47" t="s">
        <v>49</v>
      </c>
    </row>
    <row r="10" spans="2:13" x14ac:dyDescent="0.25">
      <c r="B10" s="60" t="s">
        <v>54</v>
      </c>
      <c r="C10" s="25" t="s">
        <v>438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69" t="s">
        <v>49</v>
      </c>
      <c r="K10" s="47" t="s">
        <v>49</v>
      </c>
    </row>
    <row r="11" spans="2:13" x14ac:dyDescent="0.25">
      <c r="B11" s="60" t="s">
        <v>378</v>
      </c>
      <c r="C11" s="107" t="s">
        <v>467</v>
      </c>
      <c r="D11" s="25">
        <v>1</v>
      </c>
      <c r="E11" s="25"/>
      <c r="F11" s="25"/>
      <c r="G11" s="25"/>
      <c r="H11" s="25" t="s">
        <v>49</v>
      </c>
      <c r="I11" s="25" t="s">
        <v>49</v>
      </c>
      <c r="J11" s="69" t="s">
        <v>49</v>
      </c>
      <c r="K11" s="47" t="s">
        <v>49</v>
      </c>
      <c r="L11" s="180" t="s">
        <v>468</v>
      </c>
    </row>
    <row r="12" spans="2:13" x14ac:dyDescent="0.25">
      <c r="B12" s="60" t="s">
        <v>404</v>
      </c>
      <c r="C12" s="25" t="s">
        <v>405</v>
      </c>
      <c r="D12" s="25">
        <v>1</v>
      </c>
      <c r="E12" s="25"/>
      <c r="F12" s="25"/>
      <c r="G12" s="133" t="s">
        <v>49</v>
      </c>
      <c r="H12" s="25" t="s">
        <v>49</v>
      </c>
      <c r="I12" s="25" t="s">
        <v>49</v>
      </c>
      <c r="J12" s="69" t="s">
        <v>49</v>
      </c>
      <c r="K12" s="69" t="s">
        <v>49</v>
      </c>
      <c r="L12" s="181" t="s">
        <v>469</v>
      </c>
    </row>
    <row r="13" spans="2:13" x14ac:dyDescent="0.25">
      <c r="B13" s="60" t="s">
        <v>380</v>
      </c>
      <c r="C13" s="25" t="s">
        <v>470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69" t="s">
        <v>49</v>
      </c>
      <c r="K13" s="69" t="s">
        <v>49</v>
      </c>
      <c r="L13" s="181" t="s">
        <v>471</v>
      </c>
    </row>
    <row r="14" spans="2:13" x14ac:dyDescent="0.25">
      <c r="B14" s="60" t="s">
        <v>402</v>
      </c>
      <c r="C14" s="25" t="s">
        <v>472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69" t="s">
        <v>49</v>
      </c>
      <c r="L14" s="182" t="s">
        <v>473</v>
      </c>
      <c r="M14" s="181" t="s">
        <v>403</v>
      </c>
    </row>
    <row r="15" spans="2:13" x14ac:dyDescent="0.25">
      <c r="B15" s="60" t="s">
        <v>382</v>
      </c>
      <c r="C15" s="25" t="s">
        <v>440</v>
      </c>
      <c r="D15" s="25">
        <v>1</v>
      </c>
      <c r="E15" s="25"/>
      <c r="F15" s="25"/>
      <c r="G15" s="25"/>
      <c r="H15" s="25"/>
      <c r="I15" s="25" t="s">
        <v>49</v>
      </c>
      <c r="J15" s="69" t="s">
        <v>49</v>
      </c>
      <c r="K15" s="69"/>
      <c r="L15" s="181" t="s">
        <v>474</v>
      </c>
    </row>
    <row r="16" spans="2:13" x14ac:dyDescent="0.25">
      <c r="B16" s="60" t="s">
        <v>294</v>
      </c>
      <c r="C16" s="25" t="s">
        <v>411</v>
      </c>
      <c r="D16" s="25">
        <v>2</v>
      </c>
      <c r="E16" s="25"/>
      <c r="F16" s="25"/>
      <c r="G16" s="25" t="s">
        <v>49</v>
      </c>
      <c r="H16" s="25" t="s">
        <v>49</v>
      </c>
      <c r="I16" s="25" t="s">
        <v>49</v>
      </c>
      <c r="J16" s="69" t="s">
        <v>49</v>
      </c>
      <c r="K16" s="47" t="s">
        <v>49</v>
      </c>
    </row>
    <row r="17" spans="2:12" x14ac:dyDescent="0.25">
      <c r="B17" s="60" t="s">
        <v>412</v>
      </c>
      <c r="C17" s="25" t="s">
        <v>475</v>
      </c>
      <c r="D17" s="25">
        <v>1</v>
      </c>
      <c r="E17" s="25"/>
      <c r="F17" s="25"/>
      <c r="G17" s="25"/>
      <c r="H17" s="25"/>
      <c r="I17" s="25" t="s">
        <v>49</v>
      </c>
      <c r="J17" s="69" t="s">
        <v>49</v>
      </c>
      <c r="K17" s="47"/>
    </row>
    <row r="18" spans="2:12" x14ac:dyDescent="0.25">
      <c r="B18" s="10" t="s">
        <v>414</v>
      </c>
      <c r="C18" s="34" t="s">
        <v>442</v>
      </c>
      <c r="D18" s="34">
        <v>1</v>
      </c>
      <c r="E18" s="14"/>
      <c r="F18" s="14"/>
      <c r="G18" s="14"/>
      <c r="H18" s="14"/>
      <c r="I18" s="14"/>
      <c r="J18" s="11"/>
      <c r="K18" s="4" t="s">
        <v>49</v>
      </c>
    </row>
    <row r="19" spans="2:12" x14ac:dyDescent="0.25">
      <c r="B19" s="10" t="s">
        <v>152</v>
      </c>
      <c r="C19" s="34" t="s">
        <v>476</v>
      </c>
      <c r="D19" s="14">
        <v>1</v>
      </c>
      <c r="E19" s="14"/>
      <c r="F19" s="14"/>
      <c r="G19" s="14"/>
      <c r="H19" s="14"/>
      <c r="I19" s="14"/>
      <c r="J19" s="11"/>
      <c r="K19" s="4" t="s">
        <v>49</v>
      </c>
      <c r="L19" s="14" t="s">
        <v>443</v>
      </c>
    </row>
    <row r="20" spans="2:12" x14ac:dyDescent="0.25">
      <c r="B20" s="248" t="s">
        <v>444</v>
      </c>
      <c r="C20" s="14" t="s">
        <v>445</v>
      </c>
      <c r="D20" s="14">
        <v>1</v>
      </c>
      <c r="E20" s="14"/>
      <c r="F20" s="14"/>
      <c r="G20" s="14"/>
      <c r="H20" s="14"/>
      <c r="I20" s="14"/>
      <c r="J20" s="11" t="s">
        <v>49</v>
      </c>
      <c r="K20" s="4"/>
    </row>
    <row r="21" spans="2:12" x14ac:dyDescent="0.25">
      <c r="B21" s="249"/>
      <c r="C21" s="14" t="s">
        <v>446</v>
      </c>
      <c r="D21" s="14">
        <v>1</v>
      </c>
      <c r="E21" s="14"/>
      <c r="F21" s="14"/>
      <c r="G21" s="14"/>
      <c r="H21" s="14"/>
      <c r="I21" s="14"/>
      <c r="J21" s="11" t="s">
        <v>49</v>
      </c>
      <c r="K21" s="4"/>
    </row>
    <row r="22" spans="2:12" x14ac:dyDescent="0.25">
      <c r="B22" s="249"/>
      <c r="C22" s="14" t="s">
        <v>447</v>
      </c>
      <c r="D22" s="14">
        <v>2</v>
      </c>
      <c r="E22" s="14"/>
      <c r="F22" s="14"/>
      <c r="G22" s="14"/>
      <c r="H22" s="14"/>
      <c r="I22" s="14"/>
      <c r="J22" s="11" t="s">
        <v>49</v>
      </c>
      <c r="K22" s="4"/>
    </row>
    <row r="23" spans="2:12" x14ac:dyDescent="0.25">
      <c r="B23" s="250"/>
      <c r="C23" s="14" t="s">
        <v>448</v>
      </c>
      <c r="D23" s="14">
        <v>2</v>
      </c>
      <c r="E23" s="14"/>
      <c r="F23" s="14"/>
      <c r="G23" s="14"/>
      <c r="H23" s="14"/>
      <c r="I23" s="14"/>
      <c r="J23" s="11" t="s">
        <v>49</v>
      </c>
      <c r="K23" s="4"/>
    </row>
    <row r="24" spans="2:12" x14ac:dyDescent="0.25">
      <c r="B24" s="10" t="s">
        <v>449</v>
      </c>
      <c r="C24" s="14" t="s">
        <v>450</v>
      </c>
      <c r="D24" s="14">
        <v>4</v>
      </c>
      <c r="E24" s="14"/>
      <c r="F24" s="14"/>
      <c r="G24" s="14"/>
      <c r="H24" s="14"/>
      <c r="I24" s="14"/>
      <c r="J24" s="11" t="s">
        <v>49</v>
      </c>
      <c r="K24" s="4"/>
    </row>
    <row r="25" spans="2:12" x14ac:dyDescent="0.25">
      <c r="B25" s="10" t="s">
        <v>451</v>
      </c>
      <c r="C25" s="14" t="s">
        <v>452</v>
      </c>
      <c r="D25" s="14">
        <v>2</v>
      </c>
      <c r="E25" s="14"/>
      <c r="F25" s="14"/>
      <c r="G25" s="14"/>
      <c r="H25" s="14"/>
      <c r="I25" s="14"/>
      <c r="J25" s="11" t="s">
        <v>49</v>
      </c>
      <c r="K25" s="4"/>
    </row>
    <row r="26" spans="2:12" x14ac:dyDescent="0.25">
      <c r="B26" s="248" t="s">
        <v>316</v>
      </c>
      <c r="C26" s="14" t="s">
        <v>453</v>
      </c>
      <c r="D26" s="14">
        <v>1</v>
      </c>
      <c r="E26" s="14"/>
      <c r="F26" s="14"/>
      <c r="G26" s="14"/>
      <c r="H26" s="14"/>
      <c r="I26" s="14"/>
      <c r="J26" s="11" t="s">
        <v>49</v>
      </c>
      <c r="K26" s="4"/>
    </row>
    <row r="27" spans="2:12" x14ac:dyDescent="0.25">
      <c r="B27" s="249"/>
      <c r="C27" s="14" t="s">
        <v>454</v>
      </c>
      <c r="D27" s="14">
        <v>1</v>
      </c>
      <c r="E27" s="14"/>
      <c r="F27" s="14"/>
      <c r="G27" s="14"/>
      <c r="H27" s="14"/>
      <c r="I27" s="14"/>
      <c r="J27" s="11" t="s">
        <v>49</v>
      </c>
      <c r="K27" s="4"/>
    </row>
    <row r="28" spans="2:12" x14ac:dyDescent="0.25">
      <c r="B28" s="250"/>
      <c r="C28" s="14" t="s">
        <v>455</v>
      </c>
      <c r="D28" s="14">
        <v>1</v>
      </c>
      <c r="E28" s="14"/>
      <c r="F28" s="14"/>
      <c r="G28" s="14"/>
      <c r="H28" s="14"/>
      <c r="I28" s="14"/>
      <c r="J28" s="11" t="s">
        <v>49</v>
      </c>
      <c r="K28" s="4"/>
    </row>
    <row r="29" spans="2:12" ht="47.25" x14ac:dyDescent="0.25">
      <c r="B29" s="57" t="s">
        <v>67</v>
      </c>
      <c r="C29" s="183" t="s">
        <v>417</v>
      </c>
      <c r="D29" s="21">
        <v>200</v>
      </c>
      <c r="E29" s="21" t="s">
        <v>66</v>
      </c>
      <c r="F29" s="21"/>
      <c r="G29" s="21"/>
      <c r="H29" s="21"/>
      <c r="I29" s="39" t="s">
        <v>49</v>
      </c>
      <c r="J29" s="39" t="s">
        <v>49</v>
      </c>
      <c r="K29" s="21"/>
      <c r="L29" s="8" t="s">
        <v>418</v>
      </c>
    </row>
    <row r="30" spans="2:12" x14ac:dyDescent="0.25">
      <c r="B30" s="33" t="s">
        <v>64</v>
      </c>
      <c r="C30" s="24" t="s">
        <v>65</v>
      </c>
      <c r="D30" s="24" t="s">
        <v>456</v>
      </c>
      <c r="E30" s="24" t="s">
        <v>66</v>
      </c>
      <c r="F30" s="24" t="s">
        <v>49</v>
      </c>
      <c r="G30" s="24" t="s">
        <v>49</v>
      </c>
      <c r="H30" s="24" t="s">
        <v>49</v>
      </c>
      <c r="I30" s="24" t="s">
        <v>49</v>
      </c>
      <c r="J30" s="35" t="s">
        <v>49</v>
      </c>
      <c r="K30" s="32" t="s">
        <v>49</v>
      </c>
      <c r="L30" s="8" t="s">
        <v>105</v>
      </c>
    </row>
    <row r="31" spans="2:12" x14ac:dyDescent="0.25">
      <c r="B31" s="60" t="s">
        <v>388</v>
      </c>
      <c r="C31" s="26" t="s">
        <v>249</v>
      </c>
      <c r="D31" s="25" t="s">
        <v>419</v>
      </c>
      <c r="E31" s="25" t="s">
        <v>66</v>
      </c>
      <c r="F31" s="104"/>
      <c r="G31" s="104" t="s">
        <v>49</v>
      </c>
      <c r="H31" s="25" t="s">
        <v>49</v>
      </c>
      <c r="I31" s="25" t="s">
        <v>49</v>
      </c>
      <c r="J31" s="69" t="s">
        <v>49</v>
      </c>
      <c r="K31" s="47" t="s">
        <v>49</v>
      </c>
      <c r="L31" s="8" t="s">
        <v>420</v>
      </c>
    </row>
    <row r="32" spans="2:12" x14ac:dyDescent="0.25">
      <c r="B32" s="60" t="s">
        <v>390</v>
      </c>
      <c r="C32" s="26" t="s">
        <v>249</v>
      </c>
      <c r="D32" s="26" t="s">
        <v>457</v>
      </c>
      <c r="E32" s="26" t="s">
        <v>66</v>
      </c>
      <c r="F32" s="104"/>
      <c r="G32" s="104" t="s">
        <v>49</v>
      </c>
      <c r="H32" s="25" t="s">
        <v>49</v>
      </c>
      <c r="I32" s="25" t="s">
        <v>49</v>
      </c>
      <c r="J32" s="69" t="s">
        <v>49</v>
      </c>
      <c r="K32" s="47" t="s">
        <v>49</v>
      </c>
      <c r="L32" s="8" t="s">
        <v>250</v>
      </c>
    </row>
    <row r="33" spans="2:14" x14ac:dyDescent="0.25">
      <c r="B33" s="58" t="s">
        <v>75</v>
      </c>
      <c r="C33" s="45">
        <v>5000072</v>
      </c>
      <c r="D33" s="45" t="s">
        <v>458</v>
      </c>
      <c r="E33" s="45" t="s">
        <v>66</v>
      </c>
      <c r="F33" s="45"/>
      <c r="G33" s="45"/>
      <c r="H33" s="45"/>
      <c r="I33" s="45" t="s">
        <v>49</v>
      </c>
      <c r="J33" s="71" t="s">
        <v>49</v>
      </c>
      <c r="K33" s="54"/>
      <c r="L33" s="8" t="s">
        <v>422</v>
      </c>
    </row>
    <row r="34" spans="2:14" ht="16.5" thickBot="1" x14ac:dyDescent="0.3">
      <c r="B34" s="30" t="s">
        <v>259</v>
      </c>
      <c r="C34" s="5" t="s">
        <v>70</v>
      </c>
      <c r="D34" s="5" t="s">
        <v>392</v>
      </c>
      <c r="E34" s="5" t="s">
        <v>71</v>
      </c>
      <c r="F34" s="5" t="s">
        <v>49</v>
      </c>
      <c r="G34" s="5" t="s">
        <v>49</v>
      </c>
      <c r="H34" s="5" t="s">
        <v>49</v>
      </c>
      <c r="I34" s="5" t="s">
        <v>49</v>
      </c>
      <c r="J34" s="68" t="s">
        <v>49</v>
      </c>
      <c r="K34" s="6" t="s">
        <v>49</v>
      </c>
      <c r="L34" s="8" t="s">
        <v>108</v>
      </c>
    </row>
    <row r="35" spans="2:14" x14ac:dyDescent="0.25">
      <c r="C35" s="1"/>
      <c r="D35" s="1"/>
      <c r="E35" s="1"/>
      <c r="F35" s="1"/>
      <c r="G35" s="1"/>
      <c r="H35" s="1"/>
      <c r="I35" s="1"/>
      <c r="J35" s="1"/>
      <c r="K35" s="1"/>
    </row>
    <row r="36" spans="2:14" x14ac:dyDescent="0.25">
      <c r="B36" s="36" t="s">
        <v>80</v>
      </c>
      <c r="C36" s="24" t="s">
        <v>74</v>
      </c>
      <c r="F36" t="s">
        <v>203</v>
      </c>
    </row>
    <row r="37" spans="2:14" x14ac:dyDescent="0.25">
      <c r="B37" s="36" t="s">
        <v>77</v>
      </c>
      <c r="C37" s="21" t="s">
        <v>78</v>
      </c>
      <c r="F37" s="122" t="s">
        <v>204</v>
      </c>
      <c r="G37" s="247" t="s">
        <v>459</v>
      </c>
      <c r="H37" s="247"/>
      <c r="I37" s="247"/>
      <c r="J37" s="247"/>
      <c r="K37" s="247"/>
      <c r="L37" s="247"/>
      <c r="M37" s="247"/>
    </row>
    <row r="38" spans="2:14" x14ac:dyDescent="0.25">
      <c r="B38" s="36" t="s">
        <v>260</v>
      </c>
      <c r="C38" s="26" t="s">
        <v>262</v>
      </c>
      <c r="G38" s="247"/>
      <c r="H38" s="247"/>
      <c r="I38" s="247"/>
      <c r="J38" s="247"/>
      <c r="K38" s="247"/>
      <c r="L38" s="247"/>
      <c r="M38" s="247"/>
    </row>
    <row r="39" spans="2:14" x14ac:dyDescent="0.25">
      <c r="B39" s="36" t="s">
        <v>170</v>
      </c>
      <c r="C39" s="22" t="s">
        <v>171</v>
      </c>
      <c r="G39" s="247"/>
      <c r="H39" s="247"/>
      <c r="I39" s="247"/>
      <c r="J39" s="247"/>
      <c r="K39" s="247"/>
      <c r="L39" s="247"/>
      <c r="M39" s="247"/>
    </row>
    <row r="40" spans="2:14" x14ac:dyDescent="0.25">
      <c r="B40" s="36" t="s">
        <v>83</v>
      </c>
      <c r="C40" s="45">
        <v>5000072</v>
      </c>
      <c r="F40" s="134" t="s">
        <v>204</v>
      </c>
      <c r="G40" s="135" t="s">
        <v>424</v>
      </c>
    </row>
    <row r="41" spans="2:14" x14ac:dyDescent="0.25">
      <c r="B41" s="36" t="s">
        <v>84</v>
      </c>
      <c r="C41" s="51" t="s">
        <v>85</v>
      </c>
      <c r="G41" s="246" t="s">
        <v>425</v>
      </c>
      <c r="H41" s="246"/>
      <c r="I41" s="246"/>
      <c r="J41" s="246"/>
      <c r="K41" s="246"/>
      <c r="L41" s="246"/>
      <c r="M41" s="246"/>
      <c r="N41" s="246"/>
    </row>
    <row r="42" spans="2:14" x14ac:dyDescent="0.25">
      <c r="G42" s="246"/>
      <c r="H42" s="246"/>
      <c r="I42" s="246"/>
      <c r="J42" s="246"/>
      <c r="K42" s="246"/>
      <c r="L42" s="246"/>
      <c r="M42" s="246"/>
      <c r="N42" s="246"/>
    </row>
  </sheetData>
  <mergeCells count="11">
    <mergeCell ref="B2:K2"/>
    <mergeCell ref="G37:M39"/>
    <mergeCell ref="G41:N42"/>
    <mergeCell ref="F3:K3"/>
    <mergeCell ref="B20:B23"/>
    <mergeCell ref="B26:B28"/>
    <mergeCell ref="B3:B4"/>
    <mergeCell ref="C3:C4"/>
    <mergeCell ref="D3:D4"/>
    <mergeCell ref="E3:E4"/>
    <mergeCell ref="L3:L4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2"/>
  <sheetViews>
    <sheetView zoomScale="85" zoomScaleNormal="85" workbookViewId="0">
      <selection activeCell="G5" sqref="G5:G9"/>
    </sheetView>
  </sheetViews>
  <sheetFormatPr defaultColWidth="11" defaultRowHeight="15.75" x14ac:dyDescent="0.25"/>
  <cols>
    <col min="2" max="2" width="41.625" bestFit="1" customWidth="1"/>
    <col min="6" max="11" width="7" customWidth="1"/>
    <col min="12" max="12" width="12.125" customWidth="1"/>
  </cols>
  <sheetData>
    <row r="1" spans="1:14" ht="16.5" thickBot="1" x14ac:dyDescent="0.3"/>
    <row r="2" spans="1:14" ht="32.25" thickBot="1" x14ac:dyDescent="0.55000000000000004">
      <c r="B2" s="211" t="s">
        <v>477</v>
      </c>
      <c r="C2" s="212"/>
      <c r="D2" s="212"/>
      <c r="E2" s="212"/>
      <c r="F2" s="212"/>
      <c r="G2" s="212"/>
      <c r="H2" s="212"/>
      <c r="I2" s="212"/>
      <c r="J2" s="212"/>
      <c r="K2" s="213"/>
      <c r="L2" s="214" t="s">
        <v>114</v>
      </c>
    </row>
    <row r="3" spans="1:14" ht="16.5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7"/>
      <c r="L3" s="215"/>
    </row>
    <row r="4" spans="1:14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9">
        <v>5000</v>
      </c>
    </row>
    <row r="5" spans="1:14" x14ac:dyDescent="0.25">
      <c r="B5" s="77" t="s">
        <v>47</v>
      </c>
      <c r="C5" s="78" t="s">
        <v>461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6" t="s">
        <v>49</v>
      </c>
      <c r="L5" s="107" t="s">
        <v>478</v>
      </c>
    </row>
    <row r="6" spans="1:14" x14ac:dyDescent="0.25">
      <c r="B6" s="60" t="s">
        <v>338</v>
      </c>
      <c r="C6" s="25" t="s">
        <v>462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47" t="s">
        <v>49</v>
      </c>
    </row>
    <row r="7" spans="1:14" x14ac:dyDescent="0.25">
      <c r="B7" s="60" t="s">
        <v>463</v>
      </c>
      <c r="C7" s="25" t="s">
        <v>464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47" t="s">
        <v>49</v>
      </c>
    </row>
    <row r="8" spans="1:14" x14ac:dyDescent="0.25">
      <c r="B8" s="60" t="s">
        <v>465</v>
      </c>
      <c r="C8" s="25" t="s">
        <v>466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69" t="s">
        <v>49</v>
      </c>
      <c r="K8" s="47" t="s">
        <v>49</v>
      </c>
    </row>
    <row r="9" spans="1:14" x14ac:dyDescent="0.25">
      <c r="A9" t="s">
        <v>49</v>
      </c>
      <c r="B9" s="60" t="s">
        <v>52</v>
      </c>
      <c r="C9" s="25" t="s">
        <v>437</v>
      </c>
      <c r="D9" s="25">
        <v>1</v>
      </c>
      <c r="E9" s="25"/>
      <c r="F9" s="25"/>
      <c r="G9" s="25" t="s">
        <v>49</v>
      </c>
      <c r="H9" s="25" t="s">
        <v>49</v>
      </c>
      <c r="I9" s="25" t="s">
        <v>49</v>
      </c>
      <c r="J9" s="69" t="s">
        <v>49</v>
      </c>
      <c r="K9" s="47" t="s">
        <v>49</v>
      </c>
    </row>
    <row r="10" spans="1:14" x14ac:dyDescent="0.25">
      <c r="B10" s="60" t="s">
        <v>54</v>
      </c>
      <c r="C10" s="25" t="s">
        <v>438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69" t="s">
        <v>49</v>
      </c>
      <c r="K10" s="47" t="s">
        <v>49</v>
      </c>
    </row>
    <row r="11" spans="1:14" x14ac:dyDescent="0.25">
      <c r="B11" s="60" t="s">
        <v>378</v>
      </c>
      <c r="C11" s="107" t="s">
        <v>467</v>
      </c>
      <c r="D11" s="25">
        <v>1</v>
      </c>
      <c r="E11" s="25"/>
      <c r="F11" s="25"/>
      <c r="G11" s="25"/>
      <c r="H11" s="25" t="s">
        <v>49</v>
      </c>
      <c r="I11" s="25" t="s">
        <v>49</v>
      </c>
      <c r="J11" s="69" t="s">
        <v>49</v>
      </c>
      <c r="K11" s="47" t="s">
        <v>49</v>
      </c>
      <c r="L11" s="25" t="s">
        <v>468</v>
      </c>
    </row>
    <row r="12" spans="1:14" x14ac:dyDescent="0.25">
      <c r="A12" t="s">
        <v>49</v>
      </c>
      <c r="B12" s="60" t="s">
        <v>404</v>
      </c>
      <c r="C12" s="25" t="s">
        <v>405</v>
      </c>
      <c r="D12" s="25">
        <v>1</v>
      </c>
      <c r="E12" s="25"/>
      <c r="F12" s="25"/>
      <c r="G12" s="133" t="s">
        <v>49</v>
      </c>
      <c r="H12" s="25" t="s">
        <v>49</v>
      </c>
      <c r="I12" s="25" t="s">
        <v>49</v>
      </c>
      <c r="J12" s="69" t="s">
        <v>49</v>
      </c>
      <c r="K12" s="47" t="s">
        <v>49</v>
      </c>
      <c r="L12" s="107" t="s">
        <v>469</v>
      </c>
    </row>
    <row r="13" spans="1:14" x14ac:dyDescent="0.25">
      <c r="A13" t="s">
        <v>49</v>
      </c>
      <c r="B13" s="60" t="s">
        <v>380</v>
      </c>
      <c r="C13" s="25" t="s">
        <v>470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69" t="s">
        <v>49</v>
      </c>
      <c r="K13" s="47" t="s">
        <v>49</v>
      </c>
      <c r="L13" s="107" t="s">
        <v>471</v>
      </c>
    </row>
    <row r="14" spans="1:14" x14ac:dyDescent="0.25">
      <c r="A14" t="s">
        <v>49</v>
      </c>
      <c r="B14" s="60" t="s">
        <v>402</v>
      </c>
      <c r="C14" s="119" t="s">
        <v>403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47" t="s">
        <v>49</v>
      </c>
      <c r="L14" s="107" t="s">
        <v>473</v>
      </c>
      <c r="M14" s="119" t="s">
        <v>403</v>
      </c>
      <c r="N14" s="25" t="s">
        <v>472</v>
      </c>
    </row>
    <row r="15" spans="1:14" x14ac:dyDescent="0.25">
      <c r="B15" s="60" t="s">
        <v>382</v>
      </c>
      <c r="C15" s="25" t="s">
        <v>440</v>
      </c>
      <c r="D15" s="25">
        <v>1</v>
      </c>
      <c r="E15" s="25"/>
      <c r="F15" s="25"/>
      <c r="G15" s="25"/>
      <c r="H15" s="25"/>
      <c r="I15" s="25" t="s">
        <v>49</v>
      </c>
      <c r="J15" s="69" t="s">
        <v>49</v>
      </c>
      <c r="K15" s="47"/>
      <c r="L15" s="107" t="s">
        <v>474</v>
      </c>
    </row>
    <row r="16" spans="1:14" x14ac:dyDescent="0.25">
      <c r="A16" t="s">
        <v>49</v>
      </c>
      <c r="B16" s="60" t="s">
        <v>294</v>
      </c>
      <c r="C16" s="25" t="s">
        <v>411</v>
      </c>
      <c r="D16" s="25">
        <v>2</v>
      </c>
      <c r="E16" s="25"/>
      <c r="F16" s="25"/>
      <c r="G16" s="25" t="s">
        <v>49</v>
      </c>
      <c r="H16" s="25" t="s">
        <v>49</v>
      </c>
      <c r="I16" s="25" t="s">
        <v>49</v>
      </c>
      <c r="J16" s="69" t="s">
        <v>49</v>
      </c>
      <c r="K16" s="47" t="s">
        <v>49</v>
      </c>
    </row>
    <row r="17" spans="1:12" ht="15.6" customHeight="1" x14ac:dyDescent="0.25">
      <c r="B17" s="60" t="s">
        <v>412</v>
      </c>
      <c r="C17" s="25" t="s">
        <v>475</v>
      </c>
      <c r="D17" s="25">
        <v>1</v>
      </c>
      <c r="E17" s="25"/>
      <c r="F17" s="25"/>
      <c r="G17" s="25"/>
      <c r="H17" s="25"/>
      <c r="I17" s="25" t="s">
        <v>49</v>
      </c>
      <c r="J17" s="69" t="s">
        <v>49</v>
      </c>
      <c r="K17" s="47"/>
    </row>
    <row r="18" spans="1:12" x14ac:dyDescent="0.25">
      <c r="B18" s="10" t="s">
        <v>414</v>
      </c>
      <c r="C18" s="34" t="s">
        <v>442</v>
      </c>
      <c r="D18" s="34">
        <v>1</v>
      </c>
      <c r="E18" s="14"/>
      <c r="F18" s="14"/>
      <c r="G18" s="14"/>
      <c r="H18" s="14"/>
      <c r="I18" s="14"/>
      <c r="J18" s="11"/>
      <c r="K18" s="4" t="s">
        <v>49</v>
      </c>
    </row>
    <row r="19" spans="1:12" x14ac:dyDescent="0.25">
      <c r="B19" s="10" t="s">
        <v>152</v>
      </c>
      <c r="C19" s="34" t="s">
        <v>476</v>
      </c>
      <c r="D19" s="14">
        <v>1</v>
      </c>
      <c r="E19" s="14"/>
      <c r="F19" s="14"/>
      <c r="G19" s="14"/>
      <c r="H19" s="14"/>
      <c r="I19" s="14"/>
      <c r="J19" s="11"/>
      <c r="K19" s="4" t="s">
        <v>49</v>
      </c>
      <c r="L19" s="14" t="s">
        <v>443</v>
      </c>
    </row>
    <row r="20" spans="1:12" x14ac:dyDescent="0.25">
      <c r="B20" s="248" t="s">
        <v>444</v>
      </c>
      <c r="C20" s="14" t="s">
        <v>445</v>
      </c>
      <c r="D20" s="14">
        <v>1</v>
      </c>
      <c r="E20" s="14"/>
      <c r="F20" s="14"/>
      <c r="G20" s="14"/>
      <c r="H20" s="14"/>
      <c r="I20" s="14"/>
      <c r="J20" s="11" t="s">
        <v>49</v>
      </c>
      <c r="K20" s="4"/>
    </row>
    <row r="21" spans="1:12" x14ac:dyDescent="0.25">
      <c r="B21" s="249"/>
      <c r="C21" s="14" t="s">
        <v>446</v>
      </c>
      <c r="D21" s="14">
        <v>1</v>
      </c>
      <c r="E21" s="14"/>
      <c r="F21" s="14"/>
      <c r="G21" s="14"/>
      <c r="H21" s="14"/>
      <c r="I21" s="14"/>
      <c r="J21" s="11" t="s">
        <v>49</v>
      </c>
      <c r="K21" s="4"/>
    </row>
    <row r="22" spans="1:12" x14ac:dyDescent="0.25">
      <c r="B22" s="249"/>
      <c r="C22" s="14" t="s">
        <v>447</v>
      </c>
      <c r="D22" s="14">
        <v>2</v>
      </c>
      <c r="E22" s="14"/>
      <c r="F22" s="14"/>
      <c r="G22" s="14"/>
      <c r="H22" s="14"/>
      <c r="I22" s="14"/>
      <c r="J22" s="11" t="s">
        <v>49</v>
      </c>
      <c r="K22" s="4"/>
    </row>
    <row r="23" spans="1:12" x14ac:dyDescent="0.25">
      <c r="B23" s="250"/>
      <c r="C23" s="14" t="s">
        <v>448</v>
      </c>
      <c r="D23" s="14">
        <v>2</v>
      </c>
      <c r="E23" s="14"/>
      <c r="F23" s="14"/>
      <c r="G23" s="14"/>
      <c r="H23" s="14"/>
      <c r="I23" s="14"/>
      <c r="J23" s="11" t="s">
        <v>49</v>
      </c>
      <c r="K23" s="4"/>
    </row>
    <row r="24" spans="1:12" x14ac:dyDescent="0.25">
      <c r="B24" s="10" t="s">
        <v>449</v>
      </c>
      <c r="C24" s="14" t="s">
        <v>450</v>
      </c>
      <c r="D24" s="14">
        <v>4</v>
      </c>
      <c r="E24" s="14"/>
      <c r="F24" s="14"/>
      <c r="G24" s="14"/>
      <c r="H24" s="14"/>
      <c r="I24" s="14"/>
      <c r="J24" s="11" t="s">
        <v>49</v>
      </c>
      <c r="K24" s="4"/>
    </row>
    <row r="25" spans="1:12" x14ac:dyDescent="0.25">
      <c r="B25" s="10" t="s">
        <v>451</v>
      </c>
      <c r="C25" s="14" t="s">
        <v>452</v>
      </c>
      <c r="D25" s="14">
        <v>2</v>
      </c>
      <c r="E25" s="14"/>
      <c r="F25" s="14"/>
      <c r="G25" s="14"/>
      <c r="H25" s="14"/>
      <c r="I25" s="14"/>
      <c r="J25" s="11" t="s">
        <v>49</v>
      </c>
      <c r="K25" s="4"/>
    </row>
    <row r="26" spans="1:12" x14ac:dyDescent="0.25">
      <c r="B26" s="248" t="s">
        <v>316</v>
      </c>
      <c r="C26" s="14" t="s">
        <v>453</v>
      </c>
      <c r="D26" s="14">
        <v>1</v>
      </c>
      <c r="E26" s="14"/>
      <c r="F26" s="14"/>
      <c r="G26" s="14"/>
      <c r="H26" s="14"/>
      <c r="I26" s="14"/>
      <c r="J26" s="11" t="s">
        <v>49</v>
      </c>
      <c r="K26" s="4"/>
    </row>
    <row r="27" spans="1:12" x14ac:dyDescent="0.25">
      <c r="B27" s="249"/>
      <c r="C27" s="14" t="s">
        <v>454</v>
      </c>
      <c r="D27" s="14">
        <v>1</v>
      </c>
      <c r="E27" s="14"/>
      <c r="F27" s="14"/>
      <c r="G27" s="14"/>
      <c r="H27" s="14"/>
      <c r="I27" s="14"/>
      <c r="J27" s="11" t="s">
        <v>49</v>
      </c>
      <c r="K27" s="4"/>
    </row>
    <row r="28" spans="1:12" x14ac:dyDescent="0.25">
      <c r="B28" s="250"/>
      <c r="C28" s="14" t="s">
        <v>455</v>
      </c>
      <c r="D28" s="14">
        <v>1</v>
      </c>
      <c r="E28" s="14"/>
      <c r="F28" s="14"/>
      <c r="G28" s="14"/>
      <c r="H28" s="14"/>
      <c r="I28" s="14"/>
      <c r="J28" s="11" t="s">
        <v>49</v>
      </c>
      <c r="K28" s="4"/>
    </row>
    <row r="29" spans="1:12" ht="47.25" x14ac:dyDescent="0.25">
      <c r="B29" s="57" t="s">
        <v>67</v>
      </c>
      <c r="C29" s="183" t="s">
        <v>417</v>
      </c>
      <c r="D29" s="21">
        <v>200</v>
      </c>
      <c r="E29" s="21" t="s">
        <v>66</v>
      </c>
      <c r="F29" s="21"/>
      <c r="G29" s="21"/>
      <c r="H29" s="21"/>
      <c r="I29" s="39" t="s">
        <v>49</v>
      </c>
      <c r="J29" s="39" t="s">
        <v>49</v>
      </c>
      <c r="K29" s="21"/>
      <c r="L29" s="8" t="s">
        <v>418</v>
      </c>
    </row>
    <row r="30" spans="1:12" x14ac:dyDescent="0.25">
      <c r="A30" t="s">
        <v>49</v>
      </c>
      <c r="B30" s="33" t="s">
        <v>64</v>
      </c>
      <c r="C30" s="24" t="s">
        <v>65</v>
      </c>
      <c r="D30" s="24" t="s">
        <v>456</v>
      </c>
      <c r="E30" s="24" t="s">
        <v>66</v>
      </c>
      <c r="F30" s="24" t="s">
        <v>49</v>
      </c>
      <c r="G30" s="24" t="s">
        <v>49</v>
      </c>
      <c r="H30" s="24" t="s">
        <v>49</v>
      </c>
      <c r="I30" s="24" t="s">
        <v>49</v>
      </c>
      <c r="J30" s="35" t="s">
        <v>49</v>
      </c>
      <c r="K30" s="32" t="s">
        <v>49</v>
      </c>
      <c r="L30" s="8" t="s">
        <v>105</v>
      </c>
    </row>
    <row r="31" spans="1:12" x14ac:dyDescent="0.25">
      <c r="A31" t="s">
        <v>49</v>
      </c>
      <c r="B31" s="60" t="s">
        <v>388</v>
      </c>
      <c r="C31" s="26" t="s">
        <v>249</v>
      </c>
      <c r="D31" s="25" t="s">
        <v>419</v>
      </c>
      <c r="E31" s="25" t="s">
        <v>66</v>
      </c>
      <c r="F31" s="104"/>
      <c r="G31" s="104" t="s">
        <v>49</v>
      </c>
      <c r="H31" s="25" t="s">
        <v>49</v>
      </c>
      <c r="I31" s="25" t="s">
        <v>49</v>
      </c>
      <c r="J31" s="69" t="s">
        <v>49</v>
      </c>
      <c r="K31" s="47" t="s">
        <v>49</v>
      </c>
      <c r="L31" s="8" t="s">
        <v>420</v>
      </c>
    </row>
    <row r="32" spans="1:12" x14ac:dyDescent="0.25">
      <c r="A32" t="s">
        <v>49</v>
      </c>
      <c r="B32" s="60" t="s">
        <v>390</v>
      </c>
      <c r="C32" s="26" t="s">
        <v>249</v>
      </c>
      <c r="D32" s="26" t="s">
        <v>457</v>
      </c>
      <c r="E32" s="26" t="s">
        <v>66</v>
      </c>
      <c r="F32" s="104"/>
      <c r="G32" s="104" t="s">
        <v>49</v>
      </c>
      <c r="H32" s="25" t="s">
        <v>49</v>
      </c>
      <c r="I32" s="25" t="s">
        <v>49</v>
      </c>
      <c r="J32" s="69" t="s">
        <v>49</v>
      </c>
      <c r="K32" s="47" t="s">
        <v>49</v>
      </c>
      <c r="L32" s="8" t="s">
        <v>250</v>
      </c>
    </row>
    <row r="33" spans="1:14" x14ac:dyDescent="0.25">
      <c r="B33" s="58" t="s">
        <v>75</v>
      </c>
      <c r="C33" s="45">
        <v>5000072</v>
      </c>
      <c r="D33" s="45" t="s">
        <v>458</v>
      </c>
      <c r="E33" s="45" t="s">
        <v>66</v>
      </c>
      <c r="F33" s="45"/>
      <c r="G33" s="45"/>
      <c r="H33" s="45"/>
      <c r="I33" s="45" t="s">
        <v>49</v>
      </c>
      <c r="J33" s="71" t="s">
        <v>49</v>
      </c>
      <c r="K33" s="54"/>
      <c r="L33" s="8" t="s">
        <v>422</v>
      </c>
    </row>
    <row r="34" spans="1:14" ht="16.5" thickBot="1" x14ac:dyDescent="0.3">
      <c r="A34" t="s">
        <v>49</v>
      </c>
      <c r="B34" s="30" t="s">
        <v>259</v>
      </c>
      <c r="C34" s="5" t="s">
        <v>70</v>
      </c>
      <c r="D34" s="5" t="s">
        <v>392</v>
      </c>
      <c r="E34" s="5" t="s">
        <v>71</v>
      </c>
      <c r="F34" s="5" t="s">
        <v>49</v>
      </c>
      <c r="G34" s="5" t="s">
        <v>49</v>
      </c>
      <c r="H34" s="5" t="s">
        <v>49</v>
      </c>
      <c r="I34" s="5" t="s">
        <v>49</v>
      </c>
      <c r="J34" s="68" t="s">
        <v>49</v>
      </c>
      <c r="K34" s="6" t="s">
        <v>49</v>
      </c>
      <c r="L34" s="8" t="s">
        <v>108</v>
      </c>
    </row>
    <row r="35" spans="1:14" x14ac:dyDescent="0.25">
      <c r="C35" s="1"/>
      <c r="D35" s="1"/>
      <c r="E35" s="1"/>
      <c r="F35" s="1"/>
      <c r="G35" s="1"/>
      <c r="H35" s="1"/>
      <c r="I35" s="1"/>
      <c r="J35" s="1"/>
      <c r="K35" s="1"/>
    </row>
    <row r="36" spans="1:14" x14ac:dyDescent="0.25">
      <c r="B36" s="36" t="s">
        <v>80</v>
      </c>
      <c r="C36" s="24" t="s">
        <v>74</v>
      </c>
      <c r="F36" t="s">
        <v>203</v>
      </c>
    </row>
    <row r="37" spans="1:14" x14ac:dyDescent="0.25">
      <c r="B37" s="36" t="s">
        <v>77</v>
      </c>
      <c r="C37" s="21" t="s">
        <v>78</v>
      </c>
      <c r="F37" s="122" t="s">
        <v>204</v>
      </c>
      <c r="G37" s="247" t="s">
        <v>459</v>
      </c>
      <c r="H37" s="247"/>
      <c r="I37" s="247"/>
      <c r="J37" s="247"/>
      <c r="K37" s="247"/>
      <c r="L37" s="247"/>
      <c r="M37" s="247"/>
    </row>
    <row r="38" spans="1:14" x14ac:dyDescent="0.25">
      <c r="B38" s="36" t="s">
        <v>260</v>
      </c>
      <c r="C38" s="26" t="s">
        <v>262</v>
      </c>
      <c r="G38" s="247"/>
      <c r="H38" s="247"/>
      <c r="I38" s="247"/>
      <c r="J38" s="247"/>
      <c r="K38" s="247"/>
      <c r="L38" s="247"/>
      <c r="M38" s="247"/>
    </row>
    <row r="39" spans="1:14" x14ac:dyDescent="0.25">
      <c r="B39" s="36" t="s">
        <v>170</v>
      </c>
      <c r="C39" s="22" t="s">
        <v>171</v>
      </c>
      <c r="G39" s="247"/>
      <c r="H39" s="247"/>
      <c r="I39" s="247"/>
      <c r="J39" s="247"/>
      <c r="K39" s="247"/>
      <c r="L39" s="247"/>
      <c r="M39" s="247"/>
    </row>
    <row r="40" spans="1:14" x14ac:dyDescent="0.25">
      <c r="B40" s="36" t="s">
        <v>83</v>
      </c>
      <c r="C40" s="45">
        <v>5000072</v>
      </c>
      <c r="F40" s="134" t="s">
        <v>204</v>
      </c>
      <c r="G40" s="135" t="s">
        <v>424</v>
      </c>
    </row>
    <row r="41" spans="1:14" x14ac:dyDescent="0.25">
      <c r="B41" s="36" t="s">
        <v>84</v>
      </c>
      <c r="C41" s="51" t="s">
        <v>85</v>
      </c>
      <c r="G41" s="246" t="s">
        <v>425</v>
      </c>
      <c r="H41" s="246"/>
      <c r="I41" s="246"/>
      <c r="J41" s="246"/>
      <c r="K41" s="246"/>
      <c r="L41" s="246"/>
      <c r="M41" s="246"/>
      <c r="N41" s="246"/>
    </row>
    <row r="42" spans="1:14" x14ac:dyDescent="0.25">
      <c r="G42" s="246"/>
      <c r="H42" s="246"/>
      <c r="I42" s="246"/>
      <c r="J42" s="246"/>
      <c r="K42" s="246"/>
      <c r="L42" s="246"/>
      <c r="M42" s="246"/>
      <c r="N42" s="246"/>
    </row>
  </sheetData>
  <mergeCells count="11">
    <mergeCell ref="B2:K2"/>
    <mergeCell ref="L2:L3"/>
    <mergeCell ref="G37:M39"/>
    <mergeCell ref="G41:N42"/>
    <mergeCell ref="F3:K3"/>
    <mergeCell ref="B20:B23"/>
    <mergeCell ref="B26:B28"/>
    <mergeCell ref="B3:B4"/>
    <mergeCell ref="C3:C4"/>
    <mergeCell ref="D3:D4"/>
    <mergeCell ref="E3:E4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4"/>
  <sheetViews>
    <sheetView topLeftCell="A4" workbookViewId="0">
      <selection activeCell="N23" sqref="N23"/>
    </sheetView>
  </sheetViews>
  <sheetFormatPr defaultColWidth="10.875" defaultRowHeight="15.75" x14ac:dyDescent="0.25"/>
  <cols>
    <col min="2" max="2" width="44.25" bestFit="1" customWidth="1"/>
    <col min="3" max="3" width="11.125" bestFit="1" customWidth="1"/>
    <col min="4" max="4" width="11.125" customWidth="1"/>
    <col min="5" max="5" width="10.875" customWidth="1"/>
    <col min="6" max="9" width="6.125" customWidth="1"/>
    <col min="10" max="14" width="15.875" customWidth="1"/>
  </cols>
  <sheetData>
    <row r="1" spans="2:14" ht="16.5" thickBot="1" x14ac:dyDescent="0.3">
      <c r="C1" s="95"/>
    </row>
    <row r="2" spans="2:14" ht="32.25" thickBot="1" x14ac:dyDescent="0.55000000000000004">
      <c r="B2" s="211" t="s">
        <v>479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3"/>
    </row>
    <row r="3" spans="2:14" ht="16.149999999999999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6"/>
      <c r="L3" s="226"/>
      <c r="M3" s="227"/>
      <c r="N3" s="214" t="s">
        <v>114</v>
      </c>
    </row>
    <row r="4" spans="2:14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3000</v>
      </c>
      <c r="K4" s="9">
        <v>4000</v>
      </c>
      <c r="L4" s="9">
        <v>5000</v>
      </c>
      <c r="M4" s="9">
        <v>8000</v>
      </c>
      <c r="N4" s="215"/>
    </row>
    <row r="5" spans="2:14" x14ac:dyDescent="0.25">
      <c r="B5" s="77" t="s">
        <v>47</v>
      </c>
      <c r="C5" s="78" t="s">
        <v>87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7" t="s">
        <v>49</v>
      </c>
      <c r="L5" s="97" t="s">
        <v>49</v>
      </c>
      <c r="M5" s="97" t="s">
        <v>49</v>
      </c>
      <c r="N5" s="90" t="s">
        <v>140</v>
      </c>
    </row>
    <row r="6" spans="2:14" ht="15" customHeight="1" x14ac:dyDescent="0.25">
      <c r="B6" s="60" t="s">
        <v>480</v>
      </c>
      <c r="C6" s="25" t="s">
        <v>398</v>
      </c>
      <c r="D6" s="25">
        <v>2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69" t="s">
        <v>49</v>
      </c>
      <c r="L6" s="69" t="s">
        <v>49</v>
      </c>
      <c r="M6" s="69" t="s">
        <v>49</v>
      </c>
      <c r="N6" s="25" t="s">
        <v>481</v>
      </c>
    </row>
    <row r="7" spans="2:14" x14ac:dyDescent="0.25">
      <c r="B7" s="60" t="s">
        <v>435</v>
      </c>
      <c r="C7" s="25" t="s">
        <v>180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69" t="s">
        <v>49</v>
      </c>
      <c r="L7" s="69" t="s">
        <v>49</v>
      </c>
      <c r="M7" s="69" t="s">
        <v>49</v>
      </c>
      <c r="N7" s="25" t="s">
        <v>181</v>
      </c>
    </row>
    <row r="8" spans="2:14" x14ac:dyDescent="0.25">
      <c r="B8" s="60" t="s">
        <v>482</v>
      </c>
      <c r="C8" s="25" t="s">
        <v>483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69" t="s">
        <v>49</v>
      </c>
      <c r="K8" s="69" t="s">
        <v>49</v>
      </c>
      <c r="L8" s="69" t="s">
        <v>49</v>
      </c>
      <c r="M8" s="69" t="s">
        <v>49</v>
      </c>
      <c r="N8" s="114"/>
    </row>
    <row r="9" spans="2:14" x14ac:dyDescent="0.25">
      <c r="B9" s="60" t="s">
        <v>484</v>
      </c>
      <c r="C9" s="25" t="s">
        <v>485</v>
      </c>
      <c r="D9" s="25">
        <v>1</v>
      </c>
      <c r="E9" s="25"/>
      <c r="F9" s="25" t="s">
        <v>49</v>
      </c>
      <c r="G9" s="25" t="s">
        <v>49</v>
      </c>
      <c r="H9" s="25" t="s">
        <v>49</v>
      </c>
      <c r="I9" s="25" t="s">
        <v>49</v>
      </c>
      <c r="J9" s="69" t="s">
        <v>49</v>
      </c>
      <c r="K9" s="69" t="s">
        <v>49</v>
      </c>
      <c r="L9" s="69" t="s">
        <v>49</v>
      </c>
      <c r="M9" s="69" t="s">
        <v>49</v>
      </c>
      <c r="N9" s="25" t="s">
        <v>486</v>
      </c>
    </row>
    <row r="10" spans="2:14" x14ac:dyDescent="0.25">
      <c r="B10" s="60" t="s">
        <v>52</v>
      </c>
      <c r="C10" s="25" t="s">
        <v>148</v>
      </c>
      <c r="D10" s="25">
        <v>1</v>
      </c>
      <c r="E10" s="25"/>
      <c r="F10" s="25"/>
      <c r="G10" s="25" t="s">
        <v>49</v>
      </c>
      <c r="H10" s="25" t="s">
        <v>49</v>
      </c>
      <c r="I10" s="25" t="s">
        <v>49</v>
      </c>
      <c r="J10" s="69" t="s">
        <v>49</v>
      </c>
      <c r="K10" s="69" t="s">
        <v>49</v>
      </c>
      <c r="L10" s="69" t="s">
        <v>49</v>
      </c>
      <c r="M10" s="69" t="s">
        <v>49</v>
      </c>
      <c r="N10" s="114"/>
    </row>
    <row r="11" spans="2:14" x14ac:dyDescent="0.25">
      <c r="B11" s="60" t="s">
        <v>54</v>
      </c>
      <c r="C11" s="25" t="s">
        <v>149</v>
      </c>
      <c r="D11" s="25">
        <v>1</v>
      </c>
      <c r="E11" s="25"/>
      <c r="F11" s="25"/>
      <c r="G11" s="25"/>
      <c r="H11" s="25" t="s">
        <v>49</v>
      </c>
      <c r="I11" s="25" t="s">
        <v>49</v>
      </c>
      <c r="J11" s="69" t="s">
        <v>49</v>
      </c>
      <c r="K11" s="69" t="s">
        <v>49</v>
      </c>
      <c r="L11" s="69" t="s">
        <v>49</v>
      </c>
      <c r="M11" s="69" t="s">
        <v>49</v>
      </c>
      <c r="N11" s="114"/>
    </row>
    <row r="12" spans="2:14" x14ac:dyDescent="0.25">
      <c r="B12" s="60" t="s">
        <v>378</v>
      </c>
      <c r="C12" s="25" t="s">
        <v>467</v>
      </c>
      <c r="D12" s="25">
        <v>1</v>
      </c>
      <c r="E12" s="25"/>
      <c r="F12" s="25"/>
      <c r="G12" s="25"/>
      <c r="H12" s="25"/>
      <c r="I12" s="25" t="s">
        <v>49</v>
      </c>
      <c r="J12" s="69" t="s">
        <v>49</v>
      </c>
      <c r="K12" s="69" t="s">
        <v>49</v>
      </c>
      <c r="L12" s="69" t="s">
        <v>49</v>
      </c>
      <c r="M12" s="69" t="s">
        <v>49</v>
      </c>
      <c r="N12" s="25" t="s">
        <v>468</v>
      </c>
    </row>
    <row r="13" spans="2:14" x14ac:dyDescent="0.25">
      <c r="B13" s="60" t="s">
        <v>380</v>
      </c>
      <c r="C13" s="25" t="s">
        <v>439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69" t="s">
        <v>49</v>
      </c>
      <c r="K13" s="69" t="s">
        <v>49</v>
      </c>
      <c r="L13" s="69" t="s">
        <v>49</v>
      </c>
      <c r="M13" s="69" t="s">
        <v>49</v>
      </c>
      <c r="N13" s="114"/>
    </row>
    <row r="14" spans="2:14" x14ac:dyDescent="0.25">
      <c r="B14" s="60" t="s">
        <v>487</v>
      </c>
      <c r="C14" s="25" t="s">
        <v>403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69" t="s">
        <v>49</v>
      </c>
      <c r="L14" s="69" t="s">
        <v>49</v>
      </c>
      <c r="M14" s="69" t="s">
        <v>49</v>
      </c>
      <c r="N14" s="25" t="s">
        <v>488</v>
      </c>
    </row>
    <row r="15" spans="2:14" x14ac:dyDescent="0.25">
      <c r="B15" s="60" t="s">
        <v>404</v>
      </c>
      <c r="C15" s="25" t="s">
        <v>405</v>
      </c>
      <c r="D15" s="25">
        <v>1</v>
      </c>
      <c r="E15" s="25"/>
      <c r="F15" s="25"/>
      <c r="G15" s="133" t="s">
        <v>49</v>
      </c>
      <c r="H15" s="25" t="s">
        <v>49</v>
      </c>
      <c r="I15" s="25" t="s">
        <v>49</v>
      </c>
      <c r="J15" s="69" t="s">
        <v>49</v>
      </c>
      <c r="K15" s="69" t="s">
        <v>49</v>
      </c>
      <c r="L15" s="69" t="s">
        <v>49</v>
      </c>
      <c r="M15" s="69" t="s">
        <v>49</v>
      </c>
      <c r="N15" s="25" t="s">
        <v>489</v>
      </c>
    </row>
    <row r="16" spans="2:14" x14ac:dyDescent="0.25">
      <c r="B16" s="60" t="s">
        <v>490</v>
      </c>
      <c r="C16" s="25" t="s">
        <v>491</v>
      </c>
      <c r="D16" s="25">
        <v>1</v>
      </c>
      <c r="E16" s="25"/>
      <c r="F16" s="25"/>
      <c r="G16" s="133" t="s">
        <v>49</v>
      </c>
      <c r="H16" s="25" t="s">
        <v>49</v>
      </c>
      <c r="I16" s="25" t="s">
        <v>49</v>
      </c>
      <c r="J16" s="69" t="s">
        <v>49</v>
      </c>
      <c r="K16" s="69" t="s">
        <v>49</v>
      </c>
      <c r="L16" s="69" t="s">
        <v>49</v>
      </c>
      <c r="M16" s="69" t="s">
        <v>49</v>
      </c>
      <c r="N16" s="25" t="s">
        <v>492</v>
      </c>
    </row>
    <row r="17" spans="2:14" x14ac:dyDescent="0.25">
      <c r="B17" s="60" t="s">
        <v>382</v>
      </c>
      <c r="C17" s="25" t="s">
        <v>440</v>
      </c>
      <c r="D17" s="25">
        <v>1</v>
      </c>
      <c r="E17" s="25"/>
      <c r="F17" s="25"/>
      <c r="G17" s="25"/>
      <c r="H17" s="25"/>
      <c r="I17" s="25" t="s">
        <v>49</v>
      </c>
      <c r="J17" s="69"/>
      <c r="K17" s="69" t="s">
        <v>49</v>
      </c>
      <c r="L17" s="69"/>
      <c r="M17" s="69" t="s">
        <v>49</v>
      </c>
      <c r="N17" s="25" t="s">
        <v>474</v>
      </c>
    </row>
    <row r="18" spans="2:14" x14ac:dyDescent="0.25">
      <c r="B18" s="60" t="s">
        <v>294</v>
      </c>
      <c r="C18" s="25" t="s">
        <v>411</v>
      </c>
      <c r="D18" s="25">
        <v>1</v>
      </c>
      <c r="E18" s="25"/>
      <c r="F18" s="25"/>
      <c r="G18" s="25" t="s">
        <v>49</v>
      </c>
      <c r="H18" s="25" t="s">
        <v>49</v>
      </c>
      <c r="I18" s="25" t="s">
        <v>49</v>
      </c>
      <c r="J18" s="69" t="s">
        <v>49</v>
      </c>
      <c r="K18" s="69" t="s">
        <v>49</v>
      </c>
      <c r="L18" s="69" t="s">
        <v>49</v>
      </c>
      <c r="M18" s="69" t="s">
        <v>49</v>
      </c>
      <c r="N18" s="114"/>
    </row>
    <row r="19" spans="2:14" x14ac:dyDescent="0.25">
      <c r="B19" s="60" t="s">
        <v>412</v>
      </c>
      <c r="C19" s="25" t="s">
        <v>441</v>
      </c>
      <c r="D19" s="25">
        <v>1</v>
      </c>
      <c r="E19" s="25"/>
      <c r="F19" s="25"/>
      <c r="G19" s="25"/>
      <c r="H19" s="25"/>
      <c r="I19" s="25" t="s">
        <v>49</v>
      </c>
      <c r="J19" s="69" t="s">
        <v>49</v>
      </c>
      <c r="K19" s="69" t="s">
        <v>49</v>
      </c>
      <c r="L19" s="69" t="s">
        <v>49</v>
      </c>
      <c r="M19" s="69" t="s">
        <v>49</v>
      </c>
      <c r="N19" s="14"/>
    </row>
    <row r="20" spans="2:14" x14ac:dyDescent="0.25">
      <c r="B20" s="10" t="s">
        <v>414</v>
      </c>
      <c r="C20" s="34" t="s">
        <v>493</v>
      </c>
      <c r="D20" s="34">
        <v>1</v>
      </c>
      <c r="E20" s="14"/>
      <c r="F20" s="14"/>
      <c r="G20" s="14"/>
      <c r="H20" s="14"/>
      <c r="I20" s="14"/>
      <c r="J20" s="11"/>
      <c r="K20" s="11"/>
      <c r="L20" s="11" t="s">
        <v>49</v>
      </c>
      <c r="M20" s="11"/>
      <c r="N20" s="114"/>
    </row>
    <row r="21" spans="2:14" x14ac:dyDescent="0.25">
      <c r="B21" s="10" t="s">
        <v>152</v>
      </c>
      <c r="C21" s="14" t="s">
        <v>494</v>
      </c>
      <c r="D21" s="14">
        <v>1</v>
      </c>
      <c r="E21" s="14"/>
      <c r="F21" s="14"/>
      <c r="G21" s="14"/>
      <c r="H21" s="14"/>
      <c r="I21" s="14"/>
      <c r="J21" s="11"/>
      <c r="K21" s="11"/>
      <c r="L21" s="11" t="s">
        <v>49</v>
      </c>
      <c r="M21" s="11"/>
      <c r="N21" s="114"/>
    </row>
    <row r="22" spans="2:14" ht="47.25" x14ac:dyDescent="0.25">
      <c r="B22" s="57" t="s">
        <v>67</v>
      </c>
      <c r="C22" s="183" t="s">
        <v>417</v>
      </c>
      <c r="D22" s="21">
        <v>200</v>
      </c>
      <c r="E22" s="21" t="s">
        <v>66</v>
      </c>
      <c r="F22" s="21"/>
      <c r="G22" s="21"/>
      <c r="H22" s="21"/>
      <c r="I22" s="39" t="s">
        <v>49</v>
      </c>
      <c r="J22" s="21"/>
      <c r="K22" s="39" t="s">
        <v>49</v>
      </c>
      <c r="L22" s="21"/>
      <c r="M22" s="39" t="s">
        <v>49</v>
      </c>
      <c r="N22" s="8" t="s">
        <v>418</v>
      </c>
    </row>
    <row r="23" spans="2:14" x14ac:dyDescent="0.25">
      <c r="B23" s="33" t="s">
        <v>64</v>
      </c>
      <c r="C23" s="24" t="s">
        <v>65</v>
      </c>
      <c r="D23" s="24">
        <v>17.5</v>
      </c>
      <c r="E23" s="24" t="s">
        <v>66</v>
      </c>
      <c r="F23" s="24" t="s">
        <v>49</v>
      </c>
      <c r="G23" s="24" t="s">
        <v>49</v>
      </c>
      <c r="H23" s="24" t="s">
        <v>49</v>
      </c>
      <c r="I23" s="24" t="s">
        <v>49</v>
      </c>
      <c r="J23" s="35" t="s">
        <v>49</v>
      </c>
      <c r="K23" s="35" t="s">
        <v>49</v>
      </c>
      <c r="L23" s="32" t="s">
        <v>49</v>
      </c>
      <c r="M23" s="32" t="s">
        <v>49</v>
      </c>
      <c r="N23" s="8" t="s">
        <v>105</v>
      </c>
    </row>
    <row r="24" spans="2:14" x14ac:dyDescent="0.25">
      <c r="B24" s="60" t="s">
        <v>388</v>
      </c>
      <c r="C24" s="26" t="s">
        <v>249</v>
      </c>
      <c r="D24" s="25" t="s">
        <v>419</v>
      </c>
      <c r="E24" s="25" t="s">
        <v>66</v>
      </c>
      <c r="F24" s="104"/>
      <c r="G24" s="104" t="s">
        <v>49</v>
      </c>
      <c r="H24" s="25" t="s">
        <v>49</v>
      </c>
      <c r="I24" s="25" t="s">
        <v>49</v>
      </c>
      <c r="J24" s="69" t="s">
        <v>49</v>
      </c>
      <c r="K24" s="69" t="s">
        <v>49</v>
      </c>
      <c r="L24" s="47" t="s">
        <v>49</v>
      </c>
      <c r="M24" s="47" t="s">
        <v>49</v>
      </c>
      <c r="N24" s="8" t="s">
        <v>420</v>
      </c>
    </row>
    <row r="25" spans="2:14" x14ac:dyDescent="0.25">
      <c r="B25" s="60" t="s">
        <v>390</v>
      </c>
      <c r="C25" s="26" t="s">
        <v>249</v>
      </c>
      <c r="D25" s="26" t="s">
        <v>421</v>
      </c>
      <c r="E25" s="26" t="s">
        <v>66</v>
      </c>
      <c r="F25" s="104"/>
      <c r="G25" s="104" t="s">
        <v>49</v>
      </c>
      <c r="H25" s="25" t="s">
        <v>49</v>
      </c>
      <c r="I25" s="25" t="s">
        <v>49</v>
      </c>
      <c r="J25" s="69" t="s">
        <v>49</v>
      </c>
      <c r="K25" s="69" t="s">
        <v>49</v>
      </c>
      <c r="L25" s="47" t="s">
        <v>49</v>
      </c>
      <c r="M25" s="47" t="s">
        <v>49</v>
      </c>
      <c r="N25" s="8" t="s">
        <v>250</v>
      </c>
    </row>
    <row r="26" spans="2:14" x14ac:dyDescent="0.25">
      <c r="B26" s="58" t="s">
        <v>75</v>
      </c>
      <c r="C26" s="45">
        <v>5000072</v>
      </c>
      <c r="D26" s="45" t="s">
        <v>280</v>
      </c>
      <c r="E26" s="45" t="s">
        <v>66</v>
      </c>
      <c r="F26" s="45"/>
      <c r="G26" s="45"/>
      <c r="H26" s="45"/>
      <c r="I26" s="45" t="s">
        <v>49</v>
      </c>
      <c r="J26" s="71"/>
      <c r="K26" s="71" t="s">
        <v>49</v>
      </c>
      <c r="L26" s="54"/>
      <c r="M26" s="54" t="s">
        <v>49</v>
      </c>
      <c r="N26" s="8" t="s">
        <v>422</v>
      </c>
    </row>
    <row r="27" spans="2:14" ht="16.5" thickBot="1" x14ac:dyDescent="0.3">
      <c r="B27" s="30" t="s">
        <v>259</v>
      </c>
      <c r="C27" s="5" t="s">
        <v>70</v>
      </c>
      <c r="D27" s="5" t="s">
        <v>392</v>
      </c>
      <c r="E27" s="5" t="s">
        <v>71</v>
      </c>
      <c r="F27" s="5" t="s">
        <v>49</v>
      </c>
      <c r="G27" s="5" t="s">
        <v>49</v>
      </c>
      <c r="H27" s="5" t="s">
        <v>49</v>
      </c>
      <c r="I27" s="5" t="s">
        <v>49</v>
      </c>
      <c r="J27" s="68" t="s">
        <v>49</v>
      </c>
      <c r="K27" s="68" t="s">
        <v>49</v>
      </c>
      <c r="L27" s="6" t="s">
        <v>49</v>
      </c>
      <c r="M27" s="6" t="s">
        <v>49</v>
      </c>
      <c r="N27" s="8" t="s">
        <v>108</v>
      </c>
    </row>
    <row r="28" spans="2:14" x14ac:dyDescent="0.25">
      <c r="C28" s="1"/>
      <c r="D28" s="1"/>
      <c r="E28" s="1"/>
      <c r="F28" s="1" t="s">
        <v>203</v>
      </c>
      <c r="G28" s="1"/>
      <c r="H28" s="1"/>
      <c r="I28" s="1"/>
      <c r="J28" s="1"/>
      <c r="K28" s="1"/>
      <c r="L28" s="1"/>
      <c r="M28" s="1"/>
    </row>
    <row r="29" spans="2:14" x14ac:dyDescent="0.25">
      <c r="B29" s="36" t="s">
        <v>80</v>
      </c>
      <c r="C29" s="24" t="s">
        <v>74</v>
      </c>
      <c r="F29" s="122" t="s">
        <v>204</v>
      </c>
      <c r="G29" s="247" t="s">
        <v>459</v>
      </c>
      <c r="H29" s="247"/>
      <c r="I29" s="247"/>
      <c r="J29" s="247"/>
      <c r="K29" s="247"/>
      <c r="L29" s="247"/>
      <c r="M29" s="247"/>
    </row>
    <row r="30" spans="2:14" x14ac:dyDescent="0.25">
      <c r="B30" s="36" t="s">
        <v>77</v>
      </c>
      <c r="C30" s="21" t="s">
        <v>78</v>
      </c>
      <c r="G30" s="247"/>
      <c r="H30" s="247"/>
      <c r="I30" s="247"/>
      <c r="J30" s="247"/>
      <c r="K30" s="247"/>
      <c r="L30" s="247"/>
      <c r="M30" s="247"/>
    </row>
    <row r="31" spans="2:14" x14ac:dyDescent="0.25">
      <c r="B31" s="36" t="s">
        <v>260</v>
      </c>
      <c r="C31" s="26" t="s">
        <v>262</v>
      </c>
      <c r="G31" s="247"/>
      <c r="H31" s="247"/>
      <c r="I31" s="247"/>
      <c r="J31" s="247"/>
      <c r="K31" s="247"/>
      <c r="L31" s="247"/>
      <c r="M31" s="247"/>
    </row>
    <row r="32" spans="2:14" x14ac:dyDescent="0.25">
      <c r="B32" s="36" t="s">
        <v>170</v>
      </c>
      <c r="C32" s="22" t="s">
        <v>171</v>
      </c>
      <c r="F32" s="134" t="s">
        <v>204</v>
      </c>
      <c r="G32" s="135" t="s">
        <v>424</v>
      </c>
    </row>
    <row r="33" spans="2:14" x14ac:dyDescent="0.25">
      <c r="B33" s="36" t="s">
        <v>83</v>
      </c>
      <c r="C33" s="45">
        <v>5000072</v>
      </c>
      <c r="G33" s="246" t="s">
        <v>425</v>
      </c>
      <c r="H33" s="246"/>
      <c r="I33" s="246"/>
      <c r="J33" s="246"/>
      <c r="K33" s="246"/>
      <c r="L33" s="246"/>
      <c r="M33" s="246"/>
      <c r="N33" s="246"/>
    </row>
    <row r="34" spans="2:14" x14ac:dyDescent="0.25">
      <c r="B34" s="36" t="s">
        <v>84</v>
      </c>
      <c r="C34" s="46" t="s">
        <v>85</v>
      </c>
      <c r="G34" s="246"/>
      <c r="H34" s="246"/>
      <c r="I34" s="246"/>
      <c r="J34" s="246"/>
      <c r="K34" s="246"/>
      <c r="L34" s="246"/>
      <c r="M34" s="246"/>
      <c r="N34" s="246"/>
    </row>
  </sheetData>
  <mergeCells count="9">
    <mergeCell ref="B2:M2"/>
    <mergeCell ref="G29:M31"/>
    <mergeCell ref="G33:N34"/>
    <mergeCell ref="N3:N4"/>
    <mergeCell ref="B3:B4"/>
    <mergeCell ref="C3:C4"/>
    <mergeCell ref="D3:D4"/>
    <mergeCell ref="E3:E4"/>
    <mergeCell ref="F3:M3"/>
  </mergeCells>
  <phoneticPr fontId="4" type="noConversion"/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P34"/>
  <sheetViews>
    <sheetView zoomScaleNormal="100" workbookViewId="0">
      <selection activeCell="C1" sqref="C1:C1048576"/>
    </sheetView>
  </sheetViews>
  <sheetFormatPr defaultColWidth="11" defaultRowHeight="15.75" x14ac:dyDescent="0.25"/>
  <cols>
    <col min="2" max="2" width="41" bestFit="1" customWidth="1"/>
    <col min="3" max="3" width="0" hidden="1" customWidth="1"/>
    <col min="5" max="5" width="11" customWidth="1"/>
    <col min="6" max="12" width="7.75" customWidth="1"/>
    <col min="13" max="13" width="12.5" customWidth="1"/>
  </cols>
  <sheetData>
    <row r="1" spans="2:16" ht="16.5" thickBot="1" x14ac:dyDescent="0.3"/>
    <row r="2" spans="2:16" ht="32.25" thickBot="1" x14ac:dyDescent="0.55000000000000004">
      <c r="B2" s="211" t="s">
        <v>495</v>
      </c>
      <c r="C2" s="212"/>
      <c r="D2" s="212"/>
      <c r="E2" s="212"/>
      <c r="F2" s="212"/>
      <c r="G2" s="212"/>
      <c r="H2" s="212"/>
      <c r="I2" s="212"/>
      <c r="J2" s="212"/>
      <c r="K2" s="212"/>
      <c r="L2" s="213"/>
    </row>
    <row r="3" spans="2:16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6"/>
      <c r="L3" s="227"/>
      <c r="M3" s="214" t="s">
        <v>114</v>
      </c>
    </row>
    <row r="4" spans="2:16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3000</v>
      </c>
      <c r="K4" s="9">
        <v>4000</v>
      </c>
      <c r="L4" s="9">
        <v>5000</v>
      </c>
      <c r="M4" s="215"/>
    </row>
    <row r="5" spans="2:16" x14ac:dyDescent="0.25">
      <c r="B5" s="77" t="s">
        <v>47</v>
      </c>
      <c r="C5" s="78" t="s">
        <v>87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7" t="s">
        <v>49</v>
      </c>
      <c r="L5" s="97" t="s">
        <v>49</v>
      </c>
      <c r="M5" s="90" t="s">
        <v>140</v>
      </c>
    </row>
    <row r="6" spans="2:16" x14ac:dyDescent="0.25">
      <c r="B6" s="60" t="s">
        <v>480</v>
      </c>
      <c r="C6" s="25" t="s">
        <v>398</v>
      </c>
      <c r="D6" s="25">
        <v>2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69" t="s">
        <v>49</v>
      </c>
      <c r="L6" s="69" t="s">
        <v>49</v>
      </c>
      <c r="M6" s="25" t="s">
        <v>481</v>
      </c>
      <c r="N6" s="143" t="s">
        <v>398</v>
      </c>
      <c r="O6" s="25" t="s">
        <v>399</v>
      </c>
      <c r="P6" s="98"/>
    </row>
    <row r="7" spans="2:16" x14ac:dyDescent="0.25">
      <c r="B7" s="60" t="s">
        <v>435</v>
      </c>
      <c r="C7" s="25" t="s">
        <v>496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69" t="s">
        <v>49</v>
      </c>
      <c r="L7" s="69" t="s">
        <v>49</v>
      </c>
      <c r="M7" s="25"/>
    </row>
    <row r="8" spans="2:16" x14ac:dyDescent="0.25">
      <c r="B8" s="60" t="s">
        <v>484</v>
      </c>
      <c r="C8" s="25" t="s">
        <v>485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69" t="s">
        <v>49</v>
      </c>
      <c r="K8" s="69" t="s">
        <v>49</v>
      </c>
      <c r="L8" s="69" t="s">
        <v>49</v>
      </c>
      <c r="M8" s="25" t="s">
        <v>486</v>
      </c>
    </row>
    <row r="9" spans="2:16" x14ac:dyDescent="0.25">
      <c r="B9" s="60" t="s">
        <v>52</v>
      </c>
      <c r="C9" s="25" t="s">
        <v>148</v>
      </c>
      <c r="D9" s="25">
        <v>1</v>
      </c>
      <c r="E9" s="25"/>
      <c r="F9" s="25"/>
      <c r="G9" s="25" t="s">
        <v>49</v>
      </c>
      <c r="H9" s="25" t="s">
        <v>49</v>
      </c>
      <c r="I9" s="25" t="s">
        <v>49</v>
      </c>
      <c r="J9" s="69" t="s">
        <v>49</v>
      </c>
      <c r="K9" s="69" t="s">
        <v>49</v>
      </c>
      <c r="L9" s="69" t="s">
        <v>49</v>
      </c>
      <c r="M9" s="114"/>
    </row>
    <row r="10" spans="2:16" x14ac:dyDescent="0.25">
      <c r="B10" s="60" t="s">
        <v>54</v>
      </c>
      <c r="C10" s="25" t="s">
        <v>149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69" t="s">
        <v>49</v>
      </c>
      <c r="K10" s="69" t="s">
        <v>49</v>
      </c>
      <c r="L10" s="69" t="s">
        <v>49</v>
      </c>
      <c r="M10" s="114"/>
    </row>
    <row r="11" spans="2:16" x14ac:dyDescent="0.25">
      <c r="B11" s="60" t="s">
        <v>378</v>
      </c>
      <c r="C11" s="25" t="s">
        <v>467</v>
      </c>
      <c r="D11" s="25">
        <v>1</v>
      </c>
      <c r="E11" s="25"/>
      <c r="F11" s="25"/>
      <c r="G11" s="104"/>
      <c r="H11" s="25"/>
      <c r="I11" s="25" t="s">
        <v>49</v>
      </c>
      <c r="J11" s="69"/>
      <c r="K11" s="69" t="s">
        <v>49</v>
      </c>
      <c r="L11" s="69"/>
      <c r="M11" s="25" t="s">
        <v>468</v>
      </c>
    </row>
    <row r="12" spans="2:16" x14ac:dyDescent="0.25">
      <c r="B12" s="60" t="s">
        <v>380</v>
      </c>
      <c r="C12" s="25" t="s">
        <v>439</v>
      </c>
      <c r="D12" s="25">
        <v>1</v>
      </c>
      <c r="E12" s="25"/>
      <c r="F12" s="25"/>
      <c r="G12" s="133" t="s">
        <v>49</v>
      </c>
      <c r="H12" s="25" t="s">
        <v>49</v>
      </c>
      <c r="I12" s="25" t="s">
        <v>49</v>
      </c>
      <c r="J12" s="69" t="s">
        <v>49</v>
      </c>
      <c r="K12" s="69" t="s">
        <v>49</v>
      </c>
      <c r="L12" s="69" t="s">
        <v>49</v>
      </c>
      <c r="M12" s="114"/>
    </row>
    <row r="13" spans="2:16" x14ac:dyDescent="0.25">
      <c r="B13" s="60" t="s">
        <v>487</v>
      </c>
      <c r="C13" s="25" t="s">
        <v>403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69" t="s">
        <v>49</v>
      </c>
      <c r="K13" s="69" t="s">
        <v>49</v>
      </c>
      <c r="L13" s="69" t="s">
        <v>49</v>
      </c>
      <c r="M13" s="25" t="s">
        <v>472</v>
      </c>
      <c r="N13" s="25" t="s">
        <v>488</v>
      </c>
    </row>
    <row r="14" spans="2:16" x14ac:dyDescent="0.25">
      <c r="B14" s="60" t="s">
        <v>497</v>
      </c>
      <c r="C14" s="25" t="s">
        <v>405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69" t="s">
        <v>49</v>
      </c>
      <c r="L14" s="69" t="s">
        <v>49</v>
      </c>
      <c r="M14" s="25" t="s">
        <v>489</v>
      </c>
    </row>
    <row r="15" spans="2:16" x14ac:dyDescent="0.25">
      <c r="B15" s="60" t="s">
        <v>498</v>
      </c>
      <c r="C15" s="25" t="s">
        <v>491</v>
      </c>
      <c r="D15" s="25">
        <v>1</v>
      </c>
      <c r="E15" s="25"/>
      <c r="F15" s="25"/>
      <c r="G15" s="133" t="s">
        <v>49</v>
      </c>
      <c r="H15" s="25" t="s">
        <v>49</v>
      </c>
      <c r="I15" s="25" t="s">
        <v>49</v>
      </c>
      <c r="J15" s="69" t="s">
        <v>49</v>
      </c>
      <c r="K15" s="69" t="s">
        <v>49</v>
      </c>
      <c r="L15" s="69" t="s">
        <v>49</v>
      </c>
      <c r="M15" s="25" t="s">
        <v>492</v>
      </c>
    </row>
    <row r="16" spans="2:16" x14ac:dyDescent="0.25">
      <c r="B16" s="60" t="s">
        <v>382</v>
      </c>
      <c r="C16" s="25" t="s">
        <v>440</v>
      </c>
      <c r="D16" s="25">
        <v>1</v>
      </c>
      <c r="E16" s="25"/>
      <c r="F16" s="25"/>
      <c r="G16" s="25"/>
      <c r="H16" s="25"/>
      <c r="I16" s="25" t="s">
        <v>49</v>
      </c>
      <c r="J16" s="69"/>
      <c r="K16" s="69" t="s">
        <v>49</v>
      </c>
      <c r="L16" s="69"/>
      <c r="M16" s="25" t="s">
        <v>474</v>
      </c>
    </row>
    <row r="17" spans="2:14" x14ac:dyDescent="0.25">
      <c r="B17" s="60" t="s">
        <v>294</v>
      </c>
      <c r="C17" s="25" t="s">
        <v>411</v>
      </c>
      <c r="D17" s="25">
        <v>1</v>
      </c>
      <c r="E17" s="25"/>
      <c r="F17" s="25"/>
      <c r="G17" s="25" t="s">
        <v>49</v>
      </c>
      <c r="H17" s="25" t="s">
        <v>49</v>
      </c>
      <c r="I17" s="25" t="s">
        <v>49</v>
      </c>
      <c r="J17" s="69" t="s">
        <v>49</v>
      </c>
      <c r="K17" s="69" t="s">
        <v>49</v>
      </c>
      <c r="L17" s="69" t="s">
        <v>49</v>
      </c>
      <c r="M17" s="114"/>
    </row>
    <row r="18" spans="2:14" x14ac:dyDescent="0.25">
      <c r="B18" s="60" t="s">
        <v>412</v>
      </c>
      <c r="C18" s="25" t="s">
        <v>441</v>
      </c>
      <c r="D18" s="25">
        <v>1</v>
      </c>
      <c r="E18" s="25"/>
      <c r="F18" s="25"/>
      <c r="G18" s="25"/>
      <c r="H18" s="25"/>
      <c r="I18" s="25" t="s">
        <v>49</v>
      </c>
      <c r="J18" s="69" t="s">
        <v>49</v>
      </c>
      <c r="K18" s="69" t="s">
        <v>49</v>
      </c>
      <c r="L18" s="69" t="s">
        <v>49</v>
      </c>
      <c r="M18" s="14"/>
    </row>
    <row r="19" spans="2:14" x14ac:dyDescent="0.25">
      <c r="B19" s="10" t="s">
        <v>414</v>
      </c>
      <c r="C19" s="34" t="s">
        <v>499</v>
      </c>
      <c r="D19" s="34">
        <v>1</v>
      </c>
      <c r="E19" s="14"/>
      <c r="F19" s="14"/>
      <c r="G19" s="14"/>
      <c r="H19" s="14"/>
      <c r="I19" s="14"/>
      <c r="J19" s="11"/>
      <c r="K19" s="11"/>
      <c r="L19" s="11" t="s">
        <v>49</v>
      </c>
      <c r="M19" s="114"/>
    </row>
    <row r="20" spans="2:14" ht="15" customHeight="1" x14ac:dyDescent="0.25">
      <c r="B20" s="10" t="s">
        <v>152</v>
      </c>
      <c r="C20" s="14" t="s">
        <v>500</v>
      </c>
      <c r="D20" s="14">
        <v>1</v>
      </c>
      <c r="E20" s="14"/>
      <c r="F20" s="14"/>
      <c r="G20" s="14"/>
      <c r="H20" s="14"/>
      <c r="I20" s="14"/>
      <c r="J20" s="11"/>
      <c r="K20" s="11"/>
      <c r="L20" s="11" t="s">
        <v>49</v>
      </c>
      <c r="M20" s="114"/>
    </row>
    <row r="21" spans="2:14" ht="47.25" x14ac:dyDescent="0.25">
      <c r="B21" s="57" t="s">
        <v>67</v>
      </c>
      <c r="C21" s="183" t="s">
        <v>417</v>
      </c>
      <c r="D21" s="21">
        <v>200</v>
      </c>
      <c r="E21" s="21" t="s">
        <v>66</v>
      </c>
      <c r="F21" s="21"/>
      <c r="G21" s="21"/>
      <c r="H21" s="21"/>
      <c r="I21" s="39" t="s">
        <v>49</v>
      </c>
      <c r="J21" s="70"/>
      <c r="K21" s="39" t="s">
        <v>49</v>
      </c>
      <c r="L21" s="39"/>
      <c r="M21" s="8" t="s">
        <v>418</v>
      </c>
    </row>
    <row r="22" spans="2:14" x14ac:dyDescent="0.25">
      <c r="B22" s="33" t="s">
        <v>64</v>
      </c>
      <c r="C22" s="24" t="s">
        <v>65</v>
      </c>
      <c r="D22" s="24">
        <v>17.5</v>
      </c>
      <c r="E22" s="24" t="s">
        <v>66</v>
      </c>
      <c r="F22" s="24" t="s">
        <v>49</v>
      </c>
      <c r="G22" s="24" t="s">
        <v>49</v>
      </c>
      <c r="H22" s="24" t="s">
        <v>49</v>
      </c>
      <c r="I22" s="24" t="s">
        <v>49</v>
      </c>
      <c r="J22" s="35" t="s">
        <v>49</v>
      </c>
      <c r="K22" s="35" t="s">
        <v>49</v>
      </c>
      <c r="L22" s="32" t="s">
        <v>49</v>
      </c>
      <c r="M22" s="8" t="s">
        <v>105</v>
      </c>
    </row>
    <row r="23" spans="2:14" x14ac:dyDescent="0.25">
      <c r="B23" s="60" t="s">
        <v>388</v>
      </c>
      <c r="C23" s="26" t="s">
        <v>249</v>
      </c>
      <c r="D23" s="25" t="s">
        <v>419</v>
      </c>
      <c r="E23" s="25" t="s">
        <v>66</v>
      </c>
      <c r="F23" s="104"/>
      <c r="G23" s="104" t="s">
        <v>49</v>
      </c>
      <c r="H23" s="25" t="s">
        <v>49</v>
      </c>
      <c r="I23" s="25" t="s">
        <v>49</v>
      </c>
      <c r="J23" s="69" t="s">
        <v>49</v>
      </c>
      <c r="K23" s="69" t="s">
        <v>49</v>
      </c>
      <c r="L23" s="47" t="s">
        <v>49</v>
      </c>
      <c r="M23" s="8" t="s">
        <v>420</v>
      </c>
    </row>
    <row r="24" spans="2:14" x14ac:dyDescent="0.25">
      <c r="B24" s="60" t="s">
        <v>390</v>
      </c>
      <c r="C24" s="26" t="s">
        <v>249</v>
      </c>
      <c r="D24" s="26" t="s">
        <v>421</v>
      </c>
      <c r="E24" s="26" t="s">
        <v>66</v>
      </c>
      <c r="F24" s="104"/>
      <c r="G24" s="104" t="s">
        <v>49</v>
      </c>
      <c r="H24" s="25" t="s">
        <v>49</v>
      </c>
      <c r="I24" s="25" t="s">
        <v>49</v>
      </c>
      <c r="J24" s="69" t="s">
        <v>49</v>
      </c>
      <c r="K24" s="69" t="s">
        <v>49</v>
      </c>
      <c r="L24" s="47" t="s">
        <v>49</v>
      </c>
      <c r="M24" s="8" t="s">
        <v>250</v>
      </c>
    </row>
    <row r="25" spans="2:14" x14ac:dyDescent="0.25">
      <c r="B25" s="58" t="s">
        <v>75</v>
      </c>
      <c r="C25" s="45">
        <v>5000072</v>
      </c>
      <c r="D25" s="45" t="s">
        <v>280</v>
      </c>
      <c r="E25" s="45" t="s">
        <v>66</v>
      </c>
      <c r="F25" s="45"/>
      <c r="G25" s="45"/>
      <c r="H25" s="45"/>
      <c r="I25" s="45" t="s">
        <v>49</v>
      </c>
      <c r="J25" s="71"/>
      <c r="K25" s="71" t="s">
        <v>49</v>
      </c>
      <c r="L25" s="54"/>
      <c r="M25" s="8" t="s">
        <v>422</v>
      </c>
    </row>
    <row r="26" spans="2:14" ht="16.5" thickBot="1" x14ac:dyDescent="0.3">
      <c r="B26" s="30" t="s">
        <v>259</v>
      </c>
      <c r="C26" s="5" t="s">
        <v>70</v>
      </c>
      <c r="D26" s="5" t="s">
        <v>392</v>
      </c>
      <c r="E26" s="5" t="s">
        <v>71</v>
      </c>
      <c r="F26" s="5" t="s">
        <v>49</v>
      </c>
      <c r="G26" s="5" t="s">
        <v>49</v>
      </c>
      <c r="H26" s="5" t="s">
        <v>49</v>
      </c>
      <c r="I26" s="5" t="s">
        <v>49</v>
      </c>
      <c r="J26" s="68" t="s">
        <v>49</v>
      </c>
      <c r="K26" s="68" t="s">
        <v>49</v>
      </c>
      <c r="L26" s="6" t="s">
        <v>49</v>
      </c>
      <c r="M26" s="8" t="s">
        <v>108</v>
      </c>
    </row>
    <row r="27" spans="2:14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4" x14ac:dyDescent="0.25">
      <c r="B28" s="36" t="s">
        <v>80</v>
      </c>
      <c r="C28" s="24" t="s">
        <v>74</v>
      </c>
      <c r="G28" t="s">
        <v>203</v>
      </c>
    </row>
    <row r="29" spans="2:14" x14ac:dyDescent="0.25">
      <c r="B29" s="36" t="s">
        <v>77</v>
      </c>
      <c r="C29" s="21" t="s">
        <v>78</v>
      </c>
      <c r="G29" s="122" t="s">
        <v>204</v>
      </c>
      <c r="H29" s="247" t="s">
        <v>459</v>
      </c>
      <c r="I29" s="247"/>
      <c r="J29" s="247"/>
      <c r="K29" s="247"/>
      <c r="L29" s="247"/>
      <c r="M29" s="247"/>
      <c r="N29" s="247"/>
    </row>
    <row r="30" spans="2:14" x14ac:dyDescent="0.25">
      <c r="B30" s="36" t="s">
        <v>260</v>
      </c>
      <c r="C30" s="26" t="s">
        <v>262</v>
      </c>
      <c r="H30" s="247"/>
      <c r="I30" s="247"/>
      <c r="J30" s="247"/>
      <c r="K30" s="247"/>
      <c r="L30" s="247"/>
      <c r="M30" s="247"/>
      <c r="N30" s="247"/>
    </row>
    <row r="31" spans="2:14" x14ac:dyDescent="0.25">
      <c r="B31" s="36" t="s">
        <v>170</v>
      </c>
      <c r="C31" s="22" t="s">
        <v>171</v>
      </c>
      <c r="H31" s="247"/>
      <c r="I31" s="247"/>
      <c r="J31" s="247"/>
      <c r="K31" s="247"/>
      <c r="L31" s="247"/>
      <c r="M31" s="247"/>
      <c r="N31" s="247"/>
    </row>
    <row r="32" spans="2:14" x14ac:dyDescent="0.25">
      <c r="B32" s="36" t="s">
        <v>83</v>
      </c>
      <c r="C32" s="45">
        <v>5000072</v>
      </c>
      <c r="G32" s="134" t="s">
        <v>204</v>
      </c>
      <c r="H32" s="135" t="s">
        <v>424</v>
      </c>
    </row>
    <row r="33" spans="2:15" x14ac:dyDescent="0.25">
      <c r="B33" s="36" t="s">
        <v>84</v>
      </c>
      <c r="C33" s="46" t="s">
        <v>85</v>
      </c>
      <c r="H33" s="246" t="s">
        <v>425</v>
      </c>
      <c r="I33" s="246"/>
      <c r="J33" s="246"/>
      <c r="K33" s="246"/>
      <c r="L33" s="246"/>
      <c r="M33" s="246"/>
      <c r="N33" s="246"/>
      <c r="O33" s="246"/>
    </row>
    <row r="34" spans="2:15" x14ac:dyDescent="0.25">
      <c r="H34" s="246"/>
      <c r="I34" s="246"/>
      <c r="J34" s="246"/>
      <c r="K34" s="246"/>
      <c r="L34" s="246"/>
      <c r="M34" s="246"/>
      <c r="N34" s="246"/>
      <c r="O34" s="246"/>
    </row>
  </sheetData>
  <mergeCells count="9">
    <mergeCell ref="B2:L2"/>
    <mergeCell ref="H29:N31"/>
    <mergeCell ref="H33:O34"/>
    <mergeCell ref="M3:M4"/>
    <mergeCell ref="B3:B4"/>
    <mergeCell ref="C3:C4"/>
    <mergeCell ref="D3:D4"/>
    <mergeCell ref="E3:E4"/>
    <mergeCell ref="F3:L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35"/>
  <sheetViews>
    <sheetView topLeftCell="S5" workbookViewId="0">
      <selection activeCell="C21" sqref="C21"/>
    </sheetView>
  </sheetViews>
  <sheetFormatPr defaultColWidth="10.875" defaultRowHeight="15.75" x14ac:dyDescent="0.25"/>
  <cols>
    <col min="2" max="2" width="39" customWidth="1"/>
    <col min="3" max="3" width="12.375" style="1" customWidth="1"/>
    <col min="4" max="5" width="12.875" style="1" customWidth="1"/>
    <col min="6" max="8" width="6.125" style="1" customWidth="1"/>
    <col min="9" max="9" width="6.125" style="1" bestFit="1" customWidth="1"/>
    <col min="10" max="11" width="6.125" style="1" customWidth="1"/>
    <col min="12" max="12" width="12.625" customWidth="1"/>
  </cols>
  <sheetData>
    <row r="1" spans="2:13" ht="16.5" thickBot="1" x14ac:dyDescent="0.3"/>
    <row r="2" spans="2:13" ht="32.25" thickBot="1" x14ac:dyDescent="0.55000000000000004">
      <c r="B2" s="211" t="s">
        <v>501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3" ht="16.5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7"/>
      <c r="L3" s="214" t="s">
        <v>114</v>
      </c>
    </row>
    <row r="4" spans="2:13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9">
        <v>5000</v>
      </c>
      <c r="L4" s="215"/>
    </row>
    <row r="5" spans="2:13" x14ac:dyDescent="0.25">
      <c r="B5" s="87" t="s">
        <v>47</v>
      </c>
      <c r="C5" s="88" t="s">
        <v>502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7" t="s">
        <v>49</v>
      </c>
      <c r="K5" s="96" t="s">
        <v>49</v>
      </c>
      <c r="L5" s="15"/>
    </row>
    <row r="6" spans="2:13" x14ac:dyDescent="0.25">
      <c r="B6" s="84" t="s">
        <v>503</v>
      </c>
      <c r="C6" s="85" t="s">
        <v>504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69" t="s">
        <v>49</v>
      </c>
      <c r="K6" s="47" t="s">
        <v>49</v>
      </c>
      <c r="L6" s="15"/>
    </row>
    <row r="7" spans="2:13" x14ac:dyDescent="0.25">
      <c r="B7" s="84" t="s">
        <v>286</v>
      </c>
      <c r="C7" s="85" t="s">
        <v>505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69" t="s">
        <v>49</v>
      </c>
      <c r="K7" s="47" t="s">
        <v>49</v>
      </c>
      <c r="L7" s="15"/>
    </row>
    <row r="8" spans="2:13" x14ac:dyDescent="0.25">
      <c r="B8" s="84" t="s">
        <v>52</v>
      </c>
      <c r="C8" s="85" t="s">
        <v>506</v>
      </c>
      <c r="D8" s="25">
        <v>1</v>
      </c>
      <c r="E8" s="25"/>
      <c r="F8" s="25"/>
      <c r="G8" s="25" t="s">
        <v>49</v>
      </c>
      <c r="H8" s="25" t="s">
        <v>49</v>
      </c>
      <c r="I8" s="25" t="s">
        <v>49</v>
      </c>
      <c r="J8" s="69" t="s">
        <v>49</v>
      </c>
      <c r="K8" s="47" t="s">
        <v>49</v>
      </c>
    </row>
    <row r="9" spans="2:13" x14ac:dyDescent="0.25">
      <c r="B9" s="84" t="s">
        <v>54</v>
      </c>
      <c r="C9" s="85" t="s">
        <v>507</v>
      </c>
      <c r="D9" s="25">
        <v>1</v>
      </c>
      <c r="E9" s="25"/>
      <c r="F9" s="25"/>
      <c r="G9" s="25"/>
      <c r="H9" s="25" t="s">
        <v>49</v>
      </c>
      <c r="I9" s="25" t="s">
        <v>49</v>
      </c>
      <c r="J9" s="69" t="s">
        <v>49</v>
      </c>
      <c r="K9" s="47" t="s">
        <v>49</v>
      </c>
    </row>
    <row r="10" spans="2:13" x14ac:dyDescent="0.25">
      <c r="B10" s="84" t="s">
        <v>378</v>
      </c>
      <c r="C10" s="25" t="s">
        <v>467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69" t="s">
        <v>49</v>
      </c>
      <c r="K10" s="47" t="s">
        <v>49</v>
      </c>
      <c r="L10" s="107" t="s">
        <v>468</v>
      </c>
    </row>
    <row r="11" spans="2:13" x14ac:dyDescent="0.25">
      <c r="B11" s="84" t="s">
        <v>508</v>
      </c>
      <c r="C11" s="25" t="s">
        <v>405</v>
      </c>
      <c r="D11" s="25">
        <v>1</v>
      </c>
      <c r="E11" s="25"/>
      <c r="F11" s="25"/>
      <c r="G11" s="133" t="s">
        <v>49</v>
      </c>
      <c r="H11" s="25" t="s">
        <v>49</v>
      </c>
      <c r="I11" s="25" t="s">
        <v>49</v>
      </c>
      <c r="J11" s="69" t="s">
        <v>49</v>
      </c>
      <c r="K11" s="47" t="s">
        <v>49</v>
      </c>
      <c r="L11" s="107" t="s">
        <v>469</v>
      </c>
    </row>
    <row r="12" spans="2:13" x14ac:dyDescent="0.25">
      <c r="B12" s="84" t="s">
        <v>487</v>
      </c>
      <c r="C12" s="85" t="s">
        <v>403</v>
      </c>
      <c r="D12" s="25">
        <v>1</v>
      </c>
      <c r="E12" s="25"/>
      <c r="F12" s="25"/>
      <c r="G12" s="133" t="s">
        <v>49</v>
      </c>
      <c r="H12" s="25" t="s">
        <v>49</v>
      </c>
      <c r="I12" s="25" t="s">
        <v>49</v>
      </c>
      <c r="J12" s="47" t="s">
        <v>49</v>
      </c>
      <c r="K12" s="47" t="s">
        <v>49</v>
      </c>
      <c r="L12" s="91" t="s">
        <v>472</v>
      </c>
      <c r="M12" s="91" t="s">
        <v>473</v>
      </c>
    </row>
    <row r="13" spans="2:13" x14ac:dyDescent="0.25">
      <c r="B13" s="84" t="s">
        <v>509</v>
      </c>
      <c r="C13" s="25" t="s">
        <v>120</v>
      </c>
      <c r="D13" s="25">
        <v>1</v>
      </c>
      <c r="E13" s="25"/>
      <c r="F13" s="25"/>
      <c r="G13" s="25"/>
      <c r="H13" s="25" t="s">
        <v>49</v>
      </c>
      <c r="I13" s="25" t="s">
        <v>49</v>
      </c>
      <c r="J13" s="69" t="s">
        <v>49</v>
      </c>
      <c r="K13" s="47" t="s">
        <v>49</v>
      </c>
    </row>
    <row r="14" spans="2:13" x14ac:dyDescent="0.25">
      <c r="B14" s="84" t="s">
        <v>380</v>
      </c>
      <c r="C14" s="85" t="s">
        <v>510</v>
      </c>
      <c r="D14" s="25">
        <v>1</v>
      </c>
      <c r="E14" s="25"/>
      <c r="F14" s="25"/>
      <c r="G14" s="133" t="s">
        <v>49</v>
      </c>
      <c r="H14" s="25" t="s">
        <v>49</v>
      </c>
      <c r="I14" s="25" t="s">
        <v>49</v>
      </c>
      <c r="J14" s="69" t="s">
        <v>49</v>
      </c>
      <c r="K14" s="47" t="s">
        <v>49</v>
      </c>
    </row>
    <row r="15" spans="2:13" x14ac:dyDescent="0.25">
      <c r="B15" s="84" t="s">
        <v>511</v>
      </c>
      <c r="C15" s="25" t="s">
        <v>491</v>
      </c>
      <c r="D15" s="25">
        <v>1</v>
      </c>
      <c r="E15" s="25"/>
      <c r="F15" s="25"/>
      <c r="G15" s="25"/>
      <c r="H15" s="25" t="s">
        <v>49</v>
      </c>
      <c r="I15" s="25" t="s">
        <v>49</v>
      </c>
      <c r="J15" s="69" t="s">
        <v>49</v>
      </c>
      <c r="K15" s="47" t="s">
        <v>49</v>
      </c>
    </row>
    <row r="16" spans="2:13" x14ac:dyDescent="0.25">
      <c r="B16" s="84" t="s">
        <v>382</v>
      </c>
      <c r="C16" s="25" t="s">
        <v>410</v>
      </c>
      <c r="D16" s="25">
        <v>1</v>
      </c>
      <c r="E16" s="25"/>
      <c r="F16" s="25"/>
      <c r="G16" s="133" t="s">
        <v>49</v>
      </c>
      <c r="H16" s="25"/>
      <c r="I16" s="25" t="s">
        <v>49</v>
      </c>
      <c r="J16" s="69" t="s">
        <v>49</v>
      </c>
      <c r="K16" s="47"/>
    </row>
    <row r="17" spans="2:13" x14ac:dyDescent="0.25">
      <c r="B17" s="84" t="s">
        <v>294</v>
      </c>
      <c r="C17" s="25" t="s">
        <v>411</v>
      </c>
      <c r="D17" s="25">
        <v>2</v>
      </c>
      <c r="E17" s="25"/>
      <c r="F17" s="25"/>
      <c r="G17" s="25"/>
      <c r="H17" s="25" t="s">
        <v>49</v>
      </c>
      <c r="I17" s="25" t="s">
        <v>49</v>
      </c>
      <c r="J17" s="69" t="s">
        <v>49</v>
      </c>
      <c r="K17" s="47" t="s">
        <v>49</v>
      </c>
    </row>
    <row r="18" spans="2:13" x14ac:dyDescent="0.25">
      <c r="B18" s="60" t="s">
        <v>412</v>
      </c>
      <c r="C18" s="25" t="s">
        <v>441</v>
      </c>
      <c r="D18" s="25">
        <v>1</v>
      </c>
      <c r="E18" s="25"/>
      <c r="F18" s="25"/>
      <c r="G18" s="25"/>
      <c r="H18" s="25"/>
      <c r="I18" s="25" t="s">
        <v>49</v>
      </c>
      <c r="J18" s="69" t="s">
        <v>49</v>
      </c>
      <c r="K18" s="47"/>
    </row>
    <row r="19" spans="2:13" x14ac:dyDescent="0.25">
      <c r="B19" s="12" t="s">
        <v>512</v>
      </c>
      <c r="C19" s="13" t="s">
        <v>513</v>
      </c>
      <c r="D19" s="14"/>
      <c r="E19" s="14"/>
      <c r="F19" s="14"/>
      <c r="G19" s="14"/>
      <c r="H19" s="14"/>
      <c r="I19" s="14"/>
      <c r="J19" s="11" t="s">
        <v>49</v>
      </c>
      <c r="K19" s="4"/>
    </row>
    <row r="20" spans="2:13" x14ac:dyDescent="0.25">
      <c r="B20" s="12" t="s">
        <v>514</v>
      </c>
      <c r="C20" s="13" t="s">
        <v>515</v>
      </c>
      <c r="D20" s="14"/>
      <c r="E20" s="14"/>
      <c r="F20" s="14"/>
      <c r="G20" s="14"/>
      <c r="H20" s="14"/>
      <c r="I20" s="14"/>
      <c r="J20" s="11" t="s">
        <v>49</v>
      </c>
      <c r="K20" s="4"/>
    </row>
    <row r="21" spans="2:13" ht="47.25" x14ac:dyDescent="0.25">
      <c r="B21" s="57" t="s">
        <v>67</v>
      </c>
      <c r="C21" s="183" t="s">
        <v>417</v>
      </c>
      <c r="D21" s="21" t="s">
        <v>516</v>
      </c>
      <c r="E21" s="21" t="s">
        <v>66</v>
      </c>
      <c r="F21" s="21"/>
      <c r="G21" s="21"/>
      <c r="H21" s="21"/>
      <c r="I21" s="39" t="s">
        <v>49</v>
      </c>
      <c r="J21" s="39" t="s">
        <v>49</v>
      </c>
      <c r="K21" s="21"/>
      <c r="L21" s="8" t="s">
        <v>418</v>
      </c>
    </row>
    <row r="22" spans="2:13" x14ac:dyDescent="0.25">
      <c r="B22" s="33" t="s">
        <v>64</v>
      </c>
      <c r="C22" s="24" t="s">
        <v>65</v>
      </c>
      <c r="D22" s="24" t="s">
        <v>517</v>
      </c>
      <c r="E22" s="24" t="s">
        <v>66</v>
      </c>
      <c r="F22" s="24" t="s">
        <v>49</v>
      </c>
      <c r="G22" s="24" t="s">
        <v>49</v>
      </c>
      <c r="H22" s="24" t="s">
        <v>49</v>
      </c>
      <c r="I22" s="24" t="s">
        <v>49</v>
      </c>
      <c r="J22" s="35" t="s">
        <v>49</v>
      </c>
      <c r="K22" s="32" t="s">
        <v>49</v>
      </c>
      <c r="L22" s="8" t="s">
        <v>105</v>
      </c>
    </row>
    <row r="23" spans="2:13" x14ac:dyDescent="0.25">
      <c r="B23" s="60" t="s">
        <v>388</v>
      </c>
      <c r="C23" s="26" t="s">
        <v>249</v>
      </c>
      <c r="D23" s="25" t="s">
        <v>518</v>
      </c>
      <c r="E23" s="25" t="s">
        <v>66</v>
      </c>
      <c r="F23" s="104"/>
      <c r="G23" s="104" t="s">
        <v>49</v>
      </c>
      <c r="H23" s="25" t="s">
        <v>49</v>
      </c>
      <c r="I23" s="25" t="s">
        <v>49</v>
      </c>
      <c r="J23" s="69" t="s">
        <v>49</v>
      </c>
      <c r="K23" s="47" t="s">
        <v>49</v>
      </c>
      <c r="L23" s="8" t="s">
        <v>420</v>
      </c>
    </row>
    <row r="24" spans="2:13" x14ac:dyDescent="0.25">
      <c r="B24" s="60" t="s">
        <v>390</v>
      </c>
      <c r="C24" s="26" t="s">
        <v>249</v>
      </c>
      <c r="D24" s="26" t="s">
        <v>457</v>
      </c>
      <c r="E24" s="26" t="s">
        <v>66</v>
      </c>
      <c r="F24" s="104"/>
      <c r="G24" s="104" t="s">
        <v>49</v>
      </c>
      <c r="H24" s="25" t="s">
        <v>49</v>
      </c>
      <c r="I24" s="25" t="s">
        <v>49</v>
      </c>
      <c r="J24" s="69" t="s">
        <v>49</v>
      </c>
      <c r="K24" s="47" t="s">
        <v>49</v>
      </c>
      <c r="L24" s="8" t="s">
        <v>250</v>
      </c>
    </row>
    <row r="25" spans="2:13" x14ac:dyDescent="0.25">
      <c r="B25" s="58" t="s">
        <v>75</v>
      </c>
      <c r="C25" s="45">
        <v>500072</v>
      </c>
      <c r="D25" s="45" t="s">
        <v>519</v>
      </c>
      <c r="E25" s="45" t="s">
        <v>66</v>
      </c>
      <c r="F25" s="45"/>
      <c r="G25" s="45"/>
      <c r="H25" s="45"/>
      <c r="I25" s="45" t="s">
        <v>49</v>
      </c>
      <c r="J25" s="71" t="s">
        <v>49</v>
      </c>
      <c r="K25" s="54"/>
      <c r="L25" s="8" t="s">
        <v>520</v>
      </c>
    </row>
    <row r="26" spans="2:13" ht="16.5" thickBot="1" x14ac:dyDescent="0.3">
      <c r="B26" s="30" t="s">
        <v>259</v>
      </c>
      <c r="C26" s="5" t="s">
        <v>70</v>
      </c>
      <c r="D26" s="5" t="s">
        <v>392</v>
      </c>
      <c r="E26" s="5" t="s">
        <v>71</v>
      </c>
      <c r="F26" s="5" t="s">
        <v>49</v>
      </c>
      <c r="G26" s="5" t="s">
        <v>49</v>
      </c>
      <c r="H26" s="5" t="s">
        <v>49</v>
      </c>
      <c r="I26" s="5" t="s">
        <v>49</v>
      </c>
      <c r="J26" s="68" t="s">
        <v>49</v>
      </c>
      <c r="K26" s="6" t="s">
        <v>49</v>
      </c>
      <c r="L26" s="8" t="s">
        <v>108</v>
      </c>
    </row>
    <row r="28" spans="2:13" x14ac:dyDescent="0.25">
      <c r="C28"/>
      <c r="D28"/>
      <c r="E28"/>
      <c r="F28" t="s">
        <v>203</v>
      </c>
      <c r="G28"/>
      <c r="H28"/>
      <c r="I28"/>
      <c r="J28"/>
      <c r="K28"/>
    </row>
    <row r="29" spans="2:13" x14ac:dyDescent="0.25">
      <c r="B29" s="36" t="s">
        <v>77</v>
      </c>
      <c r="C29" s="21" t="s">
        <v>78</v>
      </c>
      <c r="D29"/>
      <c r="E29"/>
      <c r="F29" s="122" t="s">
        <v>204</v>
      </c>
      <c r="G29" s="247" t="s">
        <v>459</v>
      </c>
      <c r="H29" s="247"/>
      <c r="I29" s="247"/>
      <c r="J29" s="247"/>
      <c r="K29" s="247"/>
      <c r="L29" s="247"/>
      <c r="M29" s="247"/>
    </row>
    <row r="30" spans="2:13" x14ac:dyDescent="0.25">
      <c r="B30" s="36" t="s">
        <v>260</v>
      </c>
      <c r="C30" s="26" t="s">
        <v>262</v>
      </c>
      <c r="D30"/>
      <c r="E30"/>
      <c r="F30"/>
      <c r="G30" s="247"/>
      <c r="H30" s="247"/>
      <c r="I30" s="247"/>
      <c r="J30" s="247"/>
      <c r="K30" s="247"/>
      <c r="L30" s="247"/>
      <c r="M30" s="247"/>
    </row>
    <row r="31" spans="2:13" x14ac:dyDescent="0.25">
      <c r="B31" s="36" t="s">
        <v>170</v>
      </c>
      <c r="C31" s="22" t="s">
        <v>171</v>
      </c>
      <c r="D31"/>
      <c r="E31"/>
      <c r="F31"/>
      <c r="G31" s="247"/>
      <c r="H31" s="247"/>
      <c r="I31" s="247"/>
      <c r="J31" s="247"/>
      <c r="K31" s="247"/>
      <c r="L31" s="247"/>
      <c r="M31" s="247"/>
    </row>
    <row r="32" spans="2:13" x14ac:dyDescent="0.25">
      <c r="B32" s="36" t="s">
        <v>263</v>
      </c>
      <c r="C32" s="29" t="s">
        <v>264</v>
      </c>
      <c r="D32"/>
      <c r="E32" s="76"/>
      <c r="F32" s="134" t="s">
        <v>204</v>
      </c>
      <c r="G32" s="135" t="s">
        <v>424</v>
      </c>
      <c r="H32"/>
      <c r="I32"/>
      <c r="J32"/>
      <c r="K32"/>
    </row>
    <row r="33" spans="2:14" x14ac:dyDescent="0.25">
      <c r="B33" s="36" t="s">
        <v>80</v>
      </c>
      <c r="C33" s="24" t="s">
        <v>74</v>
      </c>
      <c r="D33"/>
      <c r="E33"/>
      <c r="F33"/>
      <c r="G33" s="246" t="s">
        <v>425</v>
      </c>
      <c r="H33" s="246"/>
      <c r="I33" s="246"/>
      <c r="J33" s="246"/>
      <c r="K33" s="246"/>
      <c r="L33" s="246"/>
      <c r="M33" s="246"/>
      <c r="N33" s="246"/>
    </row>
    <row r="34" spans="2:14" x14ac:dyDescent="0.25">
      <c r="B34" s="36" t="s">
        <v>83</v>
      </c>
      <c r="C34" s="45">
        <v>5000072</v>
      </c>
      <c r="D34"/>
      <c r="E34"/>
      <c r="F34"/>
      <c r="G34" s="246"/>
      <c r="H34" s="246"/>
      <c r="I34" s="246"/>
      <c r="J34" s="246"/>
      <c r="K34" s="246"/>
      <c r="L34" s="246"/>
      <c r="M34" s="246"/>
      <c r="N34" s="246"/>
    </row>
    <row r="35" spans="2:14" x14ac:dyDescent="0.25">
      <c r="B35" s="36" t="s">
        <v>84</v>
      </c>
      <c r="C35" s="46" t="s">
        <v>85</v>
      </c>
      <c r="D35"/>
      <c r="E35"/>
      <c r="F35"/>
      <c r="G35"/>
      <c r="H35"/>
      <c r="I35"/>
      <c r="J35"/>
      <c r="K35"/>
    </row>
  </sheetData>
  <mergeCells count="9">
    <mergeCell ref="B2:K2"/>
    <mergeCell ref="L3:L4"/>
    <mergeCell ref="G29:M31"/>
    <mergeCell ref="G33:N34"/>
    <mergeCell ref="B3:B4"/>
    <mergeCell ref="C3:C4"/>
    <mergeCell ref="D3:D4"/>
    <mergeCell ref="F3:K3"/>
    <mergeCell ref="E3:E4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O38"/>
  <sheetViews>
    <sheetView topLeftCell="A5" workbookViewId="0">
      <selection activeCell="N24" sqref="N24"/>
    </sheetView>
  </sheetViews>
  <sheetFormatPr defaultColWidth="10.875" defaultRowHeight="15.75" x14ac:dyDescent="0.25"/>
  <cols>
    <col min="2" max="2" width="49.625" customWidth="1"/>
    <col min="3" max="3" width="12.375" style="1" customWidth="1"/>
    <col min="4" max="5" width="12.875" style="1" customWidth="1"/>
    <col min="6" max="8" width="6.125" style="1" customWidth="1"/>
    <col min="9" max="9" width="6.125" style="1" bestFit="1" customWidth="1"/>
    <col min="10" max="11" width="6.125" style="1" customWidth="1"/>
    <col min="12" max="12" width="12.125" customWidth="1"/>
    <col min="14" max="14" width="11.625" customWidth="1"/>
    <col min="15" max="15" width="13.125" customWidth="1"/>
  </cols>
  <sheetData>
    <row r="1" spans="2:15" ht="16.5" thickBot="1" x14ac:dyDescent="0.3"/>
    <row r="2" spans="2:15" ht="32.25" thickBot="1" x14ac:dyDescent="0.55000000000000004">
      <c r="B2" s="211" t="s">
        <v>521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2:15" ht="16.5" customHeight="1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7"/>
      <c r="L3" s="214" t="s">
        <v>114</v>
      </c>
      <c r="N3" s="251" t="s">
        <v>522</v>
      </c>
      <c r="O3" s="251" t="s">
        <v>523</v>
      </c>
    </row>
    <row r="4" spans="2:15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9">
        <v>5000</v>
      </c>
      <c r="L4" s="215"/>
      <c r="N4" s="236"/>
      <c r="O4" s="236"/>
    </row>
    <row r="5" spans="2:15" x14ac:dyDescent="0.25">
      <c r="B5" s="87" t="s">
        <v>47</v>
      </c>
      <c r="C5" s="25" t="s">
        <v>502</v>
      </c>
      <c r="D5" s="78">
        <v>1</v>
      </c>
      <c r="E5" s="78"/>
      <c r="F5" s="78" t="s">
        <v>49</v>
      </c>
      <c r="G5" s="78" t="s">
        <v>49</v>
      </c>
      <c r="H5" s="78" t="s">
        <v>49</v>
      </c>
      <c r="I5" s="78" t="s">
        <v>49</v>
      </c>
      <c r="J5" s="96" t="s">
        <v>49</v>
      </c>
      <c r="K5" s="96" t="s">
        <v>49</v>
      </c>
      <c r="L5" s="98"/>
      <c r="M5" s="98"/>
      <c r="N5" s="25" t="s">
        <v>524</v>
      </c>
      <c r="O5" s="88" t="s">
        <v>502</v>
      </c>
    </row>
    <row r="6" spans="2:15" x14ac:dyDescent="0.25">
      <c r="B6" s="84" t="s">
        <v>503</v>
      </c>
      <c r="C6" s="25" t="s">
        <v>525</v>
      </c>
      <c r="D6" s="25">
        <v>1</v>
      </c>
      <c r="E6" s="25"/>
      <c r="F6" s="25" t="s">
        <v>49</v>
      </c>
      <c r="G6" s="25" t="s">
        <v>49</v>
      </c>
      <c r="H6" s="25" t="s">
        <v>49</v>
      </c>
      <c r="I6" s="25" t="s">
        <v>49</v>
      </c>
      <c r="J6" s="47" t="s">
        <v>49</v>
      </c>
      <c r="K6" s="47" t="s">
        <v>49</v>
      </c>
      <c r="L6" s="98"/>
      <c r="M6" s="98"/>
      <c r="N6" s="114"/>
      <c r="O6" s="85" t="s">
        <v>504</v>
      </c>
    </row>
    <row r="7" spans="2:15" x14ac:dyDescent="0.25">
      <c r="B7" s="84" t="s">
        <v>286</v>
      </c>
      <c r="C7" s="25" t="s">
        <v>505</v>
      </c>
      <c r="D7" s="25">
        <v>1</v>
      </c>
      <c r="E7" s="25"/>
      <c r="F7" s="25" t="s">
        <v>49</v>
      </c>
      <c r="G7" s="25" t="s">
        <v>49</v>
      </c>
      <c r="H7" s="25" t="s">
        <v>49</v>
      </c>
      <c r="I7" s="25" t="s">
        <v>49</v>
      </c>
      <c r="J7" s="47" t="s">
        <v>49</v>
      </c>
      <c r="K7" s="47" t="s">
        <v>49</v>
      </c>
      <c r="L7" s="98"/>
      <c r="M7" s="98"/>
      <c r="N7" s="25" t="s">
        <v>526</v>
      </c>
      <c r="O7" s="85" t="s">
        <v>505</v>
      </c>
    </row>
    <row r="8" spans="2:15" x14ac:dyDescent="0.25">
      <c r="B8" s="84" t="s">
        <v>338</v>
      </c>
      <c r="C8" s="25" t="s">
        <v>485</v>
      </c>
      <c r="D8" s="25">
        <v>1</v>
      </c>
      <c r="E8" s="25"/>
      <c r="F8" s="25" t="s">
        <v>49</v>
      </c>
      <c r="G8" s="25" t="s">
        <v>49</v>
      </c>
      <c r="H8" s="25" t="s">
        <v>49</v>
      </c>
      <c r="I8" s="25" t="s">
        <v>49</v>
      </c>
      <c r="J8" s="47" t="s">
        <v>49</v>
      </c>
      <c r="K8" s="47" t="s">
        <v>49</v>
      </c>
      <c r="L8" s="25" t="s">
        <v>486</v>
      </c>
      <c r="M8" s="98"/>
      <c r="N8" s="25" t="s">
        <v>527</v>
      </c>
      <c r="O8" s="85" t="s">
        <v>486</v>
      </c>
    </row>
    <row r="9" spans="2:15" x14ac:dyDescent="0.25">
      <c r="B9" s="84" t="s">
        <v>482</v>
      </c>
      <c r="C9" s="25" t="s">
        <v>146</v>
      </c>
      <c r="D9" s="25">
        <v>1</v>
      </c>
      <c r="E9" s="25"/>
      <c r="F9" s="25"/>
      <c r="G9" s="25" t="s">
        <v>49</v>
      </c>
      <c r="H9" s="25" t="s">
        <v>49</v>
      </c>
      <c r="I9" s="25" t="s">
        <v>49</v>
      </c>
      <c r="J9" s="47" t="s">
        <v>49</v>
      </c>
      <c r="K9" s="47" t="s">
        <v>49</v>
      </c>
      <c r="L9" s="98"/>
      <c r="M9" s="98"/>
      <c r="N9" s="25"/>
      <c r="O9" s="85"/>
    </row>
    <row r="10" spans="2:15" x14ac:dyDescent="0.25">
      <c r="B10" s="84" t="s">
        <v>52</v>
      </c>
      <c r="C10" s="25" t="s">
        <v>506</v>
      </c>
      <c r="D10" s="25">
        <v>1</v>
      </c>
      <c r="E10" s="25"/>
      <c r="F10" s="25"/>
      <c r="G10" s="25" t="s">
        <v>49</v>
      </c>
      <c r="H10" s="25" t="s">
        <v>49</v>
      </c>
      <c r="I10" s="25" t="s">
        <v>49</v>
      </c>
      <c r="J10" s="47" t="s">
        <v>49</v>
      </c>
      <c r="K10" s="47" t="s">
        <v>49</v>
      </c>
      <c r="N10" s="25" t="s">
        <v>528</v>
      </c>
      <c r="O10" s="85" t="s">
        <v>506</v>
      </c>
    </row>
    <row r="11" spans="2:15" x14ac:dyDescent="0.25">
      <c r="B11" s="84" t="s">
        <v>54</v>
      </c>
      <c r="C11" s="25" t="s">
        <v>507</v>
      </c>
      <c r="D11" s="25">
        <v>1</v>
      </c>
      <c r="E11" s="25"/>
      <c r="F11" s="25"/>
      <c r="G11" s="25"/>
      <c r="H11" s="25" t="s">
        <v>49</v>
      </c>
      <c r="I11" s="25" t="s">
        <v>49</v>
      </c>
      <c r="J11" s="47" t="s">
        <v>49</v>
      </c>
      <c r="K11" s="47" t="s">
        <v>49</v>
      </c>
      <c r="N11" s="25" t="s">
        <v>529</v>
      </c>
      <c r="O11" s="85" t="s">
        <v>507</v>
      </c>
    </row>
    <row r="12" spans="2:15" x14ac:dyDescent="0.25">
      <c r="B12" s="84" t="s">
        <v>378</v>
      </c>
      <c r="C12" s="25" t="s">
        <v>467</v>
      </c>
      <c r="D12" s="25">
        <v>1</v>
      </c>
      <c r="E12" s="25"/>
      <c r="F12" s="25"/>
      <c r="G12" s="25"/>
      <c r="H12" s="25" t="s">
        <v>49</v>
      </c>
      <c r="I12" s="25" t="s">
        <v>49</v>
      </c>
      <c r="J12" s="47" t="s">
        <v>49</v>
      </c>
      <c r="K12" s="47" t="s">
        <v>49</v>
      </c>
      <c r="L12" s="98"/>
      <c r="M12" s="98"/>
      <c r="N12" s="25" t="s">
        <v>530</v>
      </c>
      <c r="O12" s="25" t="s">
        <v>467</v>
      </c>
    </row>
    <row r="13" spans="2:15" x14ac:dyDescent="0.25">
      <c r="B13" s="84" t="s">
        <v>508</v>
      </c>
      <c r="C13" s="25" t="s">
        <v>405</v>
      </c>
      <c r="D13" s="25">
        <v>1</v>
      </c>
      <c r="E13" s="25"/>
      <c r="F13" s="25"/>
      <c r="G13" s="133" t="s">
        <v>49</v>
      </c>
      <c r="H13" s="25" t="s">
        <v>49</v>
      </c>
      <c r="I13" s="25" t="s">
        <v>49</v>
      </c>
      <c r="J13" s="47" t="s">
        <v>49</v>
      </c>
      <c r="K13" s="47" t="s">
        <v>49</v>
      </c>
      <c r="N13" s="25" t="s">
        <v>531</v>
      </c>
      <c r="O13" s="25" t="s">
        <v>405</v>
      </c>
    </row>
    <row r="14" spans="2:15" x14ac:dyDescent="0.25">
      <c r="B14" s="84" t="s">
        <v>509</v>
      </c>
      <c r="C14" s="25" t="s">
        <v>120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47" t="s">
        <v>49</v>
      </c>
      <c r="K14" s="47" t="s">
        <v>49</v>
      </c>
      <c r="N14" s="25" t="s">
        <v>120</v>
      </c>
      <c r="O14" s="25" t="s">
        <v>120</v>
      </c>
    </row>
    <row r="15" spans="2:15" x14ac:dyDescent="0.25">
      <c r="B15" s="84" t="s">
        <v>380</v>
      </c>
      <c r="C15" s="25" t="s">
        <v>510</v>
      </c>
      <c r="D15" s="25">
        <v>1</v>
      </c>
      <c r="E15" s="25"/>
      <c r="F15" s="25"/>
      <c r="G15" s="133" t="s">
        <v>49</v>
      </c>
      <c r="H15" s="25" t="s">
        <v>49</v>
      </c>
      <c r="I15" s="25" t="s">
        <v>49</v>
      </c>
      <c r="J15" s="47" t="s">
        <v>49</v>
      </c>
      <c r="K15" s="47" t="s">
        <v>49</v>
      </c>
      <c r="N15" s="25" t="s">
        <v>532</v>
      </c>
      <c r="O15" s="85" t="s">
        <v>510</v>
      </c>
    </row>
    <row r="16" spans="2:15" x14ac:dyDescent="0.25">
      <c r="B16" s="84" t="s">
        <v>487</v>
      </c>
      <c r="C16" s="25" t="s">
        <v>403</v>
      </c>
      <c r="D16" s="25">
        <v>1</v>
      </c>
      <c r="E16" s="25"/>
      <c r="F16" s="25"/>
      <c r="G16" s="133" t="s">
        <v>49</v>
      </c>
      <c r="H16" s="25" t="s">
        <v>49</v>
      </c>
      <c r="I16" s="25" t="s">
        <v>49</v>
      </c>
      <c r="J16" s="47" t="s">
        <v>49</v>
      </c>
      <c r="K16" s="47" t="s">
        <v>49</v>
      </c>
      <c r="N16" s="25" t="s">
        <v>533</v>
      </c>
      <c r="O16" s="85" t="s">
        <v>403</v>
      </c>
    </row>
    <row r="17" spans="2:15" x14ac:dyDescent="0.25">
      <c r="B17" s="84" t="s">
        <v>511</v>
      </c>
      <c r="C17" s="25" t="s">
        <v>491</v>
      </c>
      <c r="D17" s="25">
        <v>1</v>
      </c>
      <c r="E17" s="25"/>
      <c r="F17" s="25"/>
      <c r="G17" s="133" t="s">
        <v>49</v>
      </c>
      <c r="H17" s="25" t="s">
        <v>49</v>
      </c>
      <c r="I17" s="25" t="s">
        <v>49</v>
      </c>
      <c r="J17" s="47" t="s">
        <v>49</v>
      </c>
      <c r="K17" s="47" t="s">
        <v>49</v>
      </c>
      <c r="N17" s="25" t="s">
        <v>534</v>
      </c>
      <c r="O17" s="25" t="s">
        <v>491</v>
      </c>
    </row>
    <row r="18" spans="2:15" x14ac:dyDescent="0.25">
      <c r="B18" s="84" t="s">
        <v>382</v>
      </c>
      <c r="C18" s="25" t="s">
        <v>410</v>
      </c>
      <c r="D18" s="25">
        <v>1</v>
      </c>
      <c r="E18" s="25"/>
      <c r="F18" s="25"/>
      <c r="G18" s="25"/>
      <c r="H18" s="25"/>
      <c r="I18" s="25" t="s">
        <v>49</v>
      </c>
      <c r="J18" s="47" t="s">
        <v>49</v>
      </c>
      <c r="K18" s="47" t="s">
        <v>49</v>
      </c>
      <c r="N18" s="25" t="s">
        <v>410</v>
      </c>
      <c r="O18" s="25" t="s">
        <v>410</v>
      </c>
    </row>
    <row r="19" spans="2:15" x14ac:dyDescent="0.25">
      <c r="B19" s="84" t="s">
        <v>294</v>
      </c>
      <c r="C19" s="25" t="s">
        <v>411</v>
      </c>
      <c r="D19" s="25">
        <v>1</v>
      </c>
      <c r="E19" s="25"/>
      <c r="F19" s="25"/>
      <c r="G19" s="25" t="s">
        <v>49</v>
      </c>
      <c r="H19" s="25" t="s">
        <v>49</v>
      </c>
      <c r="I19" s="25" t="s">
        <v>49</v>
      </c>
      <c r="J19" s="47" t="s">
        <v>49</v>
      </c>
      <c r="K19" s="47" t="s">
        <v>49</v>
      </c>
      <c r="N19" s="25" t="s">
        <v>535</v>
      </c>
      <c r="O19" s="25" t="s">
        <v>411</v>
      </c>
    </row>
    <row r="20" spans="2:15" x14ac:dyDescent="0.25">
      <c r="B20" s="84" t="s">
        <v>536</v>
      </c>
      <c r="C20" s="25" t="s">
        <v>537</v>
      </c>
      <c r="D20" s="25">
        <v>1</v>
      </c>
      <c r="E20" s="25"/>
      <c r="F20" s="25"/>
      <c r="G20" s="25"/>
      <c r="H20" s="25" t="s">
        <v>49</v>
      </c>
      <c r="I20" s="25" t="s">
        <v>49</v>
      </c>
      <c r="J20" s="47" t="s">
        <v>49</v>
      </c>
      <c r="K20" s="47" t="s">
        <v>49</v>
      </c>
      <c r="N20" s="25"/>
      <c r="O20" s="25" t="s">
        <v>537</v>
      </c>
    </row>
    <row r="21" spans="2:15" x14ac:dyDescent="0.25">
      <c r="B21" s="84" t="s">
        <v>538</v>
      </c>
      <c r="C21" s="25" t="s">
        <v>539</v>
      </c>
      <c r="D21" s="25">
        <v>1</v>
      </c>
      <c r="E21" s="25"/>
      <c r="F21" s="25"/>
      <c r="G21" s="25"/>
      <c r="H21" s="25"/>
      <c r="I21" s="25" t="s">
        <v>49</v>
      </c>
      <c r="J21" s="47" t="s">
        <v>49</v>
      </c>
      <c r="K21" s="47"/>
      <c r="N21" s="25" t="s">
        <v>540</v>
      </c>
      <c r="O21" s="25" t="s">
        <v>539</v>
      </c>
    </row>
    <row r="22" spans="2:15" x14ac:dyDescent="0.25">
      <c r="B22" s="12" t="s">
        <v>541</v>
      </c>
      <c r="C22" s="2" t="s">
        <v>542</v>
      </c>
      <c r="D22" s="14">
        <v>1</v>
      </c>
      <c r="E22" s="14"/>
      <c r="F22" s="14"/>
      <c r="G22" s="14"/>
      <c r="H22" s="14"/>
      <c r="I22" s="14"/>
      <c r="J22" s="4"/>
      <c r="K22" s="4" t="s">
        <v>49</v>
      </c>
      <c r="O22" s="13" t="s">
        <v>542</v>
      </c>
    </row>
    <row r="23" spans="2:15" x14ac:dyDescent="0.25">
      <c r="B23" s="12" t="s">
        <v>543</v>
      </c>
      <c r="C23" s="2" t="s">
        <v>513</v>
      </c>
      <c r="D23" s="14">
        <v>1</v>
      </c>
      <c r="E23" s="14"/>
      <c r="F23" s="14"/>
      <c r="G23" s="14"/>
      <c r="H23" s="14"/>
      <c r="I23" s="14"/>
      <c r="J23" s="4"/>
      <c r="K23" s="4" t="s">
        <v>49</v>
      </c>
      <c r="O23" s="13" t="s">
        <v>544</v>
      </c>
    </row>
    <row r="24" spans="2:15" ht="47.25" x14ac:dyDescent="0.25">
      <c r="B24" s="57" t="s">
        <v>67</v>
      </c>
      <c r="C24" s="183" t="s">
        <v>417</v>
      </c>
      <c r="D24" s="21" t="s">
        <v>516</v>
      </c>
      <c r="E24" s="21" t="s">
        <v>66</v>
      </c>
      <c r="F24" s="21"/>
      <c r="G24" s="21"/>
      <c r="H24" s="21"/>
      <c r="I24" s="39" t="s">
        <v>49</v>
      </c>
      <c r="J24" s="39" t="s">
        <v>49</v>
      </c>
      <c r="K24" s="21"/>
      <c r="L24" s="8" t="s">
        <v>418</v>
      </c>
      <c r="M24" s="8"/>
      <c r="O24" s="21" t="s">
        <v>78</v>
      </c>
    </row>
    <row r="25" spans="2:15" x14ac:dyDescent="0.25">
      <c r="B25" s="33" t="s">
        <v>64</v>
      </c>
      <c r="C25" s="24" t="s">
        <v>65</v>
      </c>
      <c r="D25" s="24" t="s">
        <v>545</v>
      </c>
      <c r="E25" s="24" t="s">
        <v>66</v>
      </c>
      <c r="F25" s="24" t="s">
        <v>49</v>
      </c>
      <c r="G25" s="24" t="s">
        <v>49</v>
      </c>
      <c r="H25" s="24" t="s">
        <v>49</v>
      </c>
      <c r="I25" s="24" t="s">
        <v>49</v>
      </c>
      <c r="J25" s="32" t="s">
        <v>49</v>
      </c>
      <c r="K25" s="32" t="s">
        <v>49</v>
      </c>
      <c r="L25" s="8" t="s">
        <v>105</v>
      </c>
      <c r="M25" s="8"/>
      <c r="O25" s="24" t="s">
        <v>74</v>
      </c>
    </row>
    <row r="26" spans="2:15" x14ac:dyDescent="0.25">
      <c r="B26" s="60" t="s">
        <v>388</v>
      </c>
      <c r="C26" s="26" t="s">
        <v>249</v>
      </c>
      <c r="D26" s="25" t="s">
        <v>546</v>
      </c>
      <c r="E26" s="25" t="s">
        <v>66</v>
      </c>
      <c r="F26" s="25"/>
      <c r="G26" s="104" t="s">
        <v>49</v>
      </c>
      <c r="H26" s="25" t="s">
        <v>49</v>
      </c>
      <c r="I26" s="25" t="s">
        <v>49</v>
      </c>
      <c r="J26" s="47" t="s">
        <v>49</v>
      </c>
      <c r="K26" s="47" t="s">
        <v>49</v>
      </c>
      <c r="L26" s="8" t="s">
        <v>420</v>
      </c>
      <c r="M26" s="8"/>
      <c r="O26" s="26" t="s">
        <v>262</v>
      </c>
    </row>
    <row r="27" spans="2:15" x14ac:dyDescent="0.25">
      <c r="B27" s="60" t="s">
        <v>390</v>
      </c>
      <c r="C27" s="26" t="s">
        <v>249</v>
      </c>
      <c r="D27" s="26" t="s">
        <v>457</v>
      </c>
      <c r="E27" s="26" t="s">
        <v>66</v>
      </c>
      <c r="F27" s="25"/>
      <c r="G27" s="104" t="s">
        <v>49</v>
      </c>
      <c r="H27" s="25" t="s">
        <v>49</v>
      </c>
      <c r="I27" s="25" t="s">
        <v>49</v>
      </c>
      <c r="J27" s="47" t="s">
        <v>49</v>
      </c>
      <c r="K27" s="47" t="s">
        <v>49</v>
      </c>
      <c r="L27" s="8" t="s">
        <v>250</v>
      </c>
      <c r="M27" s="8"/>
      <c r="O27" s="26" t="s">
        <v>262</v>
      </c>
    </row>
    <row r="28" spans="2:15" x14ac:dyDescent="0.25">
      <c r="B28" s="58" t="s">
        <v>75</v>
      </c>
      <c r="C28" s="45">
        <v>5000072</v>
      </c>
      <c r="D28" s="45" t="s">
        <v>547</v>
      </c>
      <c r="E28" s="45" t="s">
        <v>66</v>
      </c>
      <c r="F28" s="45"/>
      <c r="G28" s="45"/>
      <c r="H28" s="45"/>
      <c r="I28" s="45" t="s">
        <v>49</v>
      </c>
      <c r="J28" s="54" t="s">
        <v>49</v>
      </c>
      <c r="K28" s="54"/>
      <c r="L28" s="8" t="s">
        <v>520</v>
      </c>
      <c r="M28" s="8"/>
      <c r="O28" s="45">
        <v>2.0106600000000001</v>
      </c>
    </row>
    <row r="29" spans="2:15" ht="16.5" thickBot="1" x14ac:dyDescent="0.3">
      <c r="B29" s="30" t="s">
        <v>259</v>
      </c>
      <c r="C29" s="5" t="s">
        <v>70</v>
      </c>
      <c r="D29" s="5" t="s">
        <v>392</v>
      </c>
      <c r="E29" s="5" t="s">
        <v>71</v>
      </c>
      <c r="F29" s="5" t="s">
        <v>49</v>
      </c>
      <c r="G29" s="5" t="s">
        <v>49</v>
      </c>
      <c r="H29" s="5" t="s">
        <v>49</v>
      </c>
      <c r="I29" s="5" t="s">
        <v>49</v>
      </c>
      <c r="J29" s="6" t="s">
        <v>49</v>
      </c>
      <c r="K29" s="6" t="s">
        <v>49</v>
      </c>
      <c r="L29" s="8" t="s">
        <v>108</v>
      </c>
      <c r="M29" s="8"/>
      <c r="O29" s="5" t="s">
        <v>70</v>
      </c>
    </row>
    <row r="31" spans="2:15" x14ac:dyDescent="0.25">
      <c r="C31"/>
      <c r="D31"/>
      <c r="E31"/>
      <c r="F31" t="s">
        <v>203</v>
      </c>
      <c r="G31"/>
      <c r="H31"/>
      <c r="I31"/>
      <c r="J31"/>
      <c r="K31"/>
    </row>
    <row r="32" spans="2:15" x14ac:dyDescent="0.25">
      <c r="B32" s="36" t="s">
        <v>77</v>
      </c>
      <c r="C32" s="21" t="s">
        <v>78</v>
      </c>
      <c r="D32"/>
      <c r="E32"/>
      <c r="F32" s="122" t="s">
        <v>204</v>
      </c>
      <c r="G32" s="247" t="s">
        <v>459</v>
      </c>
      <c r="H32" s="247"/>
      <c r="I32" s="247"/>
      <c r="J32" s="247"/>
      <c r="K32" s="247"/>
      <c r="L32" s="247"/>
      <c r="M32" s="247"/>
      <c r="N32" s="247"/>
    </row>
    <row r="33" spans="2:14" x14ac:dyDescent="0.25">
      <c r="B33" s="36" t="s">
        <v>260</v>
      </c>
      <c r="C33" s="26" t="s">
        <v>262</v>
      </c>
      <c r="D33"/>
      <c r="E33"/>
      <c r="F33"/>
      <c r="G33" s="247"/>
      <c r="H33" s="247"/>
      <c r="I33" s="247"/>
      <c r="J33" s="247"/>
      <c r="K33" s="247"/>
      <c r="L33" s="247"/>
      <c r="M33" s="247"/>
      <c r="N33" s="247"/>
    </row>
    <row r="34" spans="2:14" x14ac:dyDescent="0.25">
      <c r="B34" s="36" t="s">
        <v>170</v>
      </c>
      <c r="C34" s="22" t="s">
        <v>171</v>
      </c>
      <c r="D34"/>
      <c r="E34"/>
      <c r="F34"/>
      <c r="G34" s="247"/>
      <c r="H34" s="247"/>
      <c r="I34" s="247"/>
      <c r="J34" s="247"/>
      <c r="K34" s="247"/>
      <c r="L34" s="247"/>
      <c r="M34" s="247"/>
      <c r="N34" s="247"/>
    </row>
    <row r="35" spans="2:14" x14ac:dyDescent="0.25">
      <c r="B35" s="36" t="s">
        <v>263</v>
      </c>
      <c r="C35" s="29" t="s">
        <v>264</v>
      </c>
      <c r="D35"/>
      <c r="E35" s="76"/>
      <c r="F35" s="134" t="s">
        <v>204</v>
      </c>
      <c r="G35" s="135" t="s">
        <v>424</v>
      </c>
      <c r="H35"/>
      <c r="I35"/>
      <c r="J35"/>
      <c r="K35"/>
    </row>
    <row r="36" spans="2:14" x14ac:dyDescent="0.25">
      <c r="B36" s="36" t="s">
        <v>80</v>
      </c>
      <c r="C36" s="24" t="s">
        <v>74</v>
      </c>
      <c r="D36"/>
      <c r="E36"/>
      <c r="F36"/>
      <c r="G36" s="246" t="s">
        <v>425</v>
      </c>
      <c r="H36" s="246"/>
      <c r="I36" s="246"/>
      <c r="J36" s="246"/>
      <c r="K36" s="246"/>
      <c r="L36" s="246"/>
      <c r="M36" s="246"/>
      <c r="N36" s="246"/>
    </row>
    <row r="37" spans="2:14" x14ac:dyDescent="0.25">
      <c r="B37" s="36" t="s">
        <v>83</v>
      </c>
      <c r="C37" s="45">
        <v>5000072</v>
      </c>
      <c r="D37"/>
      <c r="E37"/>
      <c r="F37"/>
      <c r="G37" s="246"/>
      <c r="H37" s="246"/>
      <c r="I37" s="246"/>
      <c r="J37" s="246"/>
      <c r="K37" s="246"/>
      <c r="L37" s="246"/>
      <c r="M37" s="246"/>
      <c r="N37" s="246"/>
    </row>
    <row r="38" spans="2:14" x14ac:dyDescent="0.25">
      <c r="B38" s="36" t="s">
        <v>84</v>
      </c>
      <c r="C38" s="46" t="s">
        <v>85</v>
      </c>
      <c r="D38"/>
      <c r="E38"/>
      <c r="F38"/>
      <c r="G38"/>
      <c r="H38"/>
      <c r="I38"/>
      <c r="J38"/>
      <c r="K38"/>
    </row>
  </sheetData>
  <mergeCells count="11">
    <mergeCell ref="G36:N37"/>
    <mergeCell ref="B3:B4"/>
    <mergeCell ref="C3:C4"/>
    <mergeCell ref="D3:D4"/>
    <mergeCell ref="E3:E4"/>
    <mergeCell ref="F3:K3"/>
    <mergeCell ref="B2:K2"/>
    <mergeCell ref="L3:L4"/>
    <mergeCell ref="O3:O4"/>
    <mergeCell ref="N3:N4"/>
    <mergeCell ref="G32:N34"/>
  </mergeCells>
  <phoneticPr fontId="4" type="noConversion"/>
  <pageMargins left="0.7" right="0.7" top="0.75" bottom="0.75" header="0.3" footer="0.3"/>
  <pageSetup orientation="portrait" verticalDpi="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3204-F2EC-43CC-9532-CF04F21FAAB1}">
  <dimension ref="B1:N29"/>
  <sheetViews>
    <sheetView zoomScale="85" zoomScaleNormal="85" workbookViewId="0">
      <selection activeCell="C16" sqref="C16"/>
    </sheetView>
  </sheetViews>
  <sheetFormatPr defaultColWidth="11" defaultRowHeight="15.75" x14ac:dyDescent="0.25"/>
  <cols>
    <col min="2" max="2" width="48.625" bestFit="1" customWidth="1"/>
    <col min="3" max="3" width="11" customWidth="1"/>
    <col min="5" max="5" width="10.625" customWidth="1"/>
    <col min="6" max="6" width="5.875" customWidth="1"/>
    <col min="7" max="7" width="6.625" customWidth="1"/>
    <col min="8" max="8" width="6.75" customWidth="1"/>
    <col min="9" max="9" width="6.875" customWidth="1"/>
    <col min="10" max="10" width="6.25" customWidth="1"/>
    <col min="11" max="11" width="12" customWidth="1"/>
  </cols>
  <sheetData>
    <row r="1" spans="2:11" ht="16.5" thickBot="1" x14ac:dyDescent="0.3"/>
    <row r="2" spans="2:11" ht="32.25" thickBot="1" x14ac:dyDescent="0.55000000000000004">
      <c r="B2" s="211" t="s">
        <v>548</v>
      </c>
      <c r="C2" s="212"/>
      <c r="D2" s="212"/>
      <c r="E2" s="212"/>
      <c r="F2" s="212"/>
      <c r="G2" s="212"/>
      <c r="H2" s="212"/>
      <c r="I2" s="212"/>
      <c r="J2" s="213"/>
    </row>
    <row r="3" spans="2:11" ht="16.5" thickBot="1" x14ac:dyDescent="0.3">
      <c r="B3" s="252" t="s">
        <v>41</v>
      </c>
      <c r="C3" s="254" t="s">
        <v>42</v>
      </c>
      <c r="D3" s="256" t="s">
        <v>139</v>
      </c>
      <c r="E3" s="243" t="s">
        <v>44</v>
      </c>
      <c r="F3" s="258" t="s">
        <v>179</v>
      </c>
      <c r="G3" s="225"/>
      <c r="H3" s="225"/>
      <c r="I3" s="225"/>
      <c r="J3" s="225"/>
      <c r="K3" s="214" t="s">
        <v>114</v>
      </c>
    </row>
    <row r="4" spans="2:11" ht="16.5" thickBot="1" x14ac:dyDescent="0.3">
      <c r="B4" s="253"/>
      <c r="C4" s="255"/>
      <c r="D4" s="257"/>
      <c r="E4" s="244"/>
      <c r="F4" s="16">
        <v>100</v>
      </c>
      <c r="G4" s="9">
        <v>250</v>
      </c>
      <c r="H4" s="9">
        <v>500</v>
      </c>
      <c r="I4" s="9">
        <v>1000</v>
      </c>
      <c r="J4" s="9">
        <v>2000</v>
      </c>
      <c r="K4" s="215"/>
    </row>
    <row r="5" spans="2:11" x14ac:dyDescent="0.25">
      <c r="B5" s="89" t="s">
        <v>47</v>
      </c>
      <c r="C5" s="90" t="s">
        <v>549</v>
      </c>
      <c r="D5" s="90">
        <v>1</v>
      </c>
      <c r="E5" s="90"/>
      <c r="F5" s="78"/>
      <c r="G5" s="78" t="s">
        <v>49</v>
      </c>
      <c r="H5" s="78" t="s">
        <v>49</v>
      </c>
      <c r="I5" s="78" t="s">
        <v>49</v>
      </c>
      <c r="J5" s="78" t="s">
        <v>49</v>
      </c>
    </row>
    <row r="6" spans="2:11" x14ac:dyDescent="0.25">
      <c r="B6" s="60" t="s">
        <v>90</v>
      </c>
      <c r="C6" s="118" t="s">
        <v>550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15"/>
    </row>
    <row r="7" spans="2:11" x14ac:dyDescent="0.25">
      <c r="B7" s="60" t="s">
        <v>551</v>
      </c>
      <c r="C7" s="25" t="s">
        <v>552</v>
      </c>
      <c r="D7" s="25">
        <v>1</v>
      </c>
      <c r="E7" s="25"/>
      <c r="F7" s="25"/>
      <c r="G7" s="25" t="s">
        <v>49</v>
      </c>
      <c r="H7" s="25" t="s">
        <v>49</v>
      </c>
      <c r="I7" s="25" t="s">
        <v>49</v>
      </c>
      <c r="J7" s="25" t="s">
        <v>49</v>
      </c>
    </row>
    <row r="8" spans="2:11" x14ac:dyDescent="0.25">
      <c r="B8" s="60" t="s">
        <v>52</v>
      </c>
      <c r="C8" s="25" t="s">
        <v>553</v>
      </c>
      <c r="D8" s="25">
        <v>1</v>
      </c>
      <c r="E8" s="25"/>
      <c r="F8" s="25"/>
      <c r="G8" s="25"/>
      <c r="H8" s="25" t="s">
        <v>49</v>
      </c>
      <c r="I8" s="25" t="s">
        <v>49</v>
      </c>
      <c r="J8" s="25" t="s">
        <v>49</v>
      </c>
    </row>
    <row r="9" spans="2:11" x14ac:dyDescent="0.25">
      <c r="B9" s="60" t="s">
        <v>54</v>
      </c>
      <c r="C9" s="25" t="s">
        <v>554</v>
      </c>
      <c r="D9" s="25">
        <v>1</v>
      </c>
      <c r="E9" s="25"/>
      <c r="F9" s="25"/>
      <c r="G9" s="25"/>
      <c r="H9" s="25"/>
      <c r="I9" s="25" t="s">
        <v>49</v>
      </c>
      <c r="J9" s="25" t="s">
        <v>49</v>
      </c>
    </row>
    <row r="10" spans="2:11" x14ac:dyDescent="0.25">
      <c r="B10" s="60" t="s">
        <v>555</v>
      </c>
      <c r="C10" s="25" t="s">
        <v>556</v>
      </c>
      <c r="D10" s="25">
        <v>1</v>
      </c>
      <c r="E10" s="25"/>
      <c r="F10" s="25"/>
      <c r="G10" s="25"/>
      <c r="H10" s="25"/>
      <c r="I10" s="25"/>
      <c r="J10" s="25" t="s">
        <v>49</v>
      </c>
    </row>
    <row r="11" spans="2:11" x14ac:dyDescent="0.25">
      <c r="B11" s="60" t="s">
        <v>238</v>
      </c>
      <c r="C11" s="25" t="s">
        <v>557</v>
      </c>
      <c r="D11" s="25">
        <v>1</v>
      </c>
      <c r="E11" s="25"/>
      <c r="F11" s="133" t="s">
        <v>49</v>
      </c>
      <c r="G11" s="25"/>
      <c r="H11" s="25" t="s">
        <v>49</v>
      </c>
      <c r="I11" s="25" t="s">
        <v>49</v>
      </c>
      <c r="J11" s="25" t="s">
        <v>49</v>
      </c>
    </row>
    <row r="12" spans="2:11" x14ac:dyDescent="0.25">
      <c r="B12" s="60" t="s">
        <v>240</v>
      </c>
      <c r="C12" s="119" t="s">
        <v>558</v>
      </c>
      <c r="D12" s="25">
        <v>1</v>
      </c>
      <c r="E12" s="25"/>
      <c r="F12" s="133"/>
      <c r="G12" s="25"/>
      <c r="H12" s="25" t="s">
        <v>49</v>
      </c>
      <c r="I12" s="25" t="s">
        <v>49</v>
      </c>
      <c r="J12" s="25" t="s">
        <v>49</v>
      </c>
      <c r="K12" s="119" t="s">
        <v>559</v>
      </c>
    </row>
    <row r="13" spans="2:11" x14ac:dyDescent="0.25">
      <c r="B13" s="109" t="s">
        <v>292</v>
      </c>
      <c r="C13" s="25" t="s">
        <v>560</v>
      </c>
      <c r="D13" s="25">
        <v>1</v>
      </c>
      <c r="E13" s="25"/>
      <c r="F13" s="25"/>
      <c r="G13" s="25"/>
      <c r="H13" s="25" t="s">
        <v>49</v>
      </c>
      <c r="I13" s="25" t="s">
        <v>49</v>
      </c>
      <c r="J13" s="25" t="s">
        <v>49</v>
      </c>
    </row>
    <row r="14" spans="2:11" x14ac:dyDescent="0.25">
      <c r="B14" s="109" t="s">
        <v>294</v>
      </c>
      <c r="C14" s="25" t="s">
        <v>561</v>
      </c>
      <c r="D14" s="25">
        <v>1</v>
      </c>
      <c r="E14" s="25"/>
      <c r="F14" s="25"/>
      <c r="G14" s="25"/>
      <c r="H14" s="25" t="s">
        <v>49</v>
      </c>
      <c r="I14" s="25" t="s">
        <v>49</v>
      </c>
      <c r="J14" s="25" t="s">
        <v>49</v>
      </c>
      <c r="K14" s="25" t="s">
        <v>562</v>
      </c>
    </row>
    <row r="15" spans="2:11" x14ac:dyDescent="0.25">
      <c r="B15" s="57" t="s">
        <v>67</v>
      </c>
      <c r="C15" s="21" t="s">
        <v>68</v>
      </c>
      <c r="D15" s="21" t="s">
        <v>563</v>
      </c>
      <c r="E15" s="21" t="s">
        <v>564</v>
      </c>
      <c r="F15" s="21"/>
      <c r="G15" s="21"/>
      <c r="H15" s="21"/>
      <c r="I15" s="21"/>
      <c r="J15" s="21" t="s">
        <v>49</v>
      </c>
      <c r="K15" s="8">
        <v>46</v>
      </c>
    </row>
    <row r="16" spans="2:11" x14ac:dyDescent="0.25">
      <c r="B16" s="33" t="s">
        <v>64</v>
      </c>
      <c r="C16" s="24" t="s">
        <v>65</v>
      </c>
      <c r="D16" s="24" t="s">
        <v>169</v>
      </c>
      <c r="E16" s="24" t="s">
        <v>66</v>
      </c>
      <c r="F16" s="24"/>
      <c r="G16" s="24" t="s">
        <v>49</v>
      </c>
      <c r="H16" s="24" t="s">
        <v>49</v>
      </c>
      <c r="I16" s="24" t="s">
        <v>49</v>
      </c>
      <c r="J16" s="24" t="s">
        <v>49</v>
      </c>
      <c r="K16" s="8" t="s">
        <v>105</v>
      </c>
    </row>
    <row r="17" spans="2:14" x14ac:dyDescent="0.25">
      <c r="B17" s="61" t="s">
        <v>244</v>
      </c>
      <c r="C17" s="29" t="s">
        <v>264</v>
      </c>
      <c r="D17" s="29" t="s">
        <v>565</v>
      </c>
      <c r="E17" s="29" t="s">
        <v>66</v>
      </c>
      <c r="F17" s="138"/>
      <c r="G17" s="29"/>
      <c r="H17" s="29" t="s">
        <v>49</v>
      </c>
      <c r="I17" s="29" t="s">
        <v>49</v>
      </c>
      <c r="J17" s="29" t="s">
        <v>49</v>
      </c>
      <c r="K17" s="8" t="s">
        <v>566</v>
      </c>
    </row>
    <row r="18" spans="2:14" x14ac:dyDescent="0.25">
      <c r="B18" s="59" t="s">
        <v>567</v>
      </c>
      <c r="C18" s="22" t="s">
        <v>344</v>
      </c>
      <c r="D18" s="27" t="s">
        <v>568</v>
      </c>
      <c r="E18" s="27" t="s">
        <v>66</v>
      </c>
      <c r="F18" s="116"/>
      <c r="G18" s="28"/>
      <c r="H18" s="28" t="s">
        <v>49</v>
      </c>
      <c r="I18" s="28" t="s">
        <v>49</v>
      </c>
      <c r="J18" s="28" t="s">
        <v>49</v>
      </c>
      <c r="K18" s="8" t="s">
        <v>569</v>
      </c>
    </row>
    <row r="19" spans="2:14" x14ac:dyDescent="0.25">
      <c r="B19" s="59" t="s">
        <v>570</v>
      </c>
      <c r="C19" s="22" t="s">
        <v>344</v>
      </c>
      <c r="D19" s="27" t="s">
        <v>257</v>
      </c>
      <c r="E19" s="27" t="s">
        <v>66</v>
      </c>
      <c r="F19" s="116"/>
      <c r="G19" s="28"/>
      <c r="H19" s="28" t="s">
        <v>49</v>
      </c>
      <c r="I19" s="28" t="s">
        <v>49</v>
      </c>
      <c r="J19" s="28" t="s">
        <v>49</v>
      </c>
      <c r="K19" s="8" t="s">
        <v>569</v>
      </c>
    </row>
    <row r="20" spans="2:14" x14ac:dyDescent="0.25">
      <c r="B20" s="58" t="s">
        <v>75</v>
      </c>
      <c r="C20" s="45">
        <v>5000072</v>
      </c>
      <c r="D20" s="45" t="s">
        <v>568</v>
      </c>
      <c r="E20" s="45" t="s">
        <v>66</v>
      </c>
      <c r="F20" s="45"/>
      <c r="G20" s="45"/>
      <c r="H20" s="45"/>
      <c r="I20" s="45"/>
      <c r="J20" s="45" t="s">
        <v>49</v>
      </c>
      <c r="K20" s="8" t="s">
        <v>110</v>
      </c>
    </row>
    <row r="21" spans="2:14" ht="16.5" thickBot="1" x14ac:dyDescent="0.3">
      <c r="B21" s="30" t="s">
        <v>259</v>
      </c>
      <c r="C21" s="5" t="s">
        <v>70</v>
      </c>
      <c r="D21" s="5" t="s">
        <v>320</v>
      </c>
      <c r="E21" s="5" t="s">
        <v>71</v>
      </c>
      <c r="F21" s="5" t="s">
        <v>49</v>
      </c>
      <c r="G21" s="5" t="s">
        <v>49</v>
      </c>
      <c r="H21" s="5" t="s">
        <v>49</v>
      </c>
      <c r="I21" s="5" t="s">
        <v>49</v>
      </c>
      <c r="J21" s="5" t="s">
        <v>49</v>
      </c>
      <c r="K21" s="8" t="s">
        <v>108</v>
      </c>
    </row>
    <row r="22" spans="2:14" x14ac:dyDescent="0.25">
      <c r="C22" s="1"/>
      <c r="D22" s="1"/>
      <c r="E22" s="1"/>
      <c r="F22" s="1" t="s">
        <v>202</v>
      </c>
      <c r="G22" s="1"/>
      <c r="H22" s="1"/>
      <c r="I22" s="1"/>
      <c r="J22" s="1"/>
    </row>
    <row r="23" spans="2:14" x14ac:dyDescent="0.25">
      <c r="F23" t="s">
        <v>203</v>
      </c>
    </row>
    <row r="24" spans="2:14" x14ac:dyDescent="0.25">
      <c r="B24" s="36" t="s">
        <v>77</v>
      </c>
      <c r="C24" s="21" t="s">
        <v>78</v>
      </c>
      <c r="F24" s="134" t="s">
        <v>204</v>
      </c>
      <c r="G24" s="148" t="s">
        <v>571</v>
      </c>
      <c r="H24" s="148"/>
      <c r="I24" s="148"/>
      <c r="J24" s="148"/>
      <c r="K24" s="148"/>
      <c r="L24" s="148"/>
    </row>
    <row r="25" spans="2:14" x14ac:dyDescent="0.25">
      <c r="B25" s="36" t="s">
        <v>572</v>
      </c>
      <c r="C25" s="22" t="s">
        <v>261</v>
      </c>
      <c r="F25" s="134"/>
      <c r="G25" s="135"/>
      <c r="M25" s="148"/>
      <c r="N25" s="148"/>
    </row>
    <row r="26" spans="2:14" x14ac:dyDescent="0.25">
      <c r="B26" s="36" t="s">
        <v>573</v>
      </c>
      <c r="C26" s="29" t="s">
        <v>574</v>
      </c>
      <c r="G26" s="136"/>
      <c r="H26" s="136"/>
      <c r="I26" s="136"/>
      <c r="J26" s="136"/>
      <c r="K26" s="136"/>
      <c r="L26" s="136"/>
    </row>
    <row r="27" spans="2:14" x14ac:dyDescent="0.25">
      <c r="B27" s="36" t="s">
        <v>80</v>
      </c>
      <c r="C27" s="24" t="s">
        <v>74</v>
      </c>
      <c r="G27" s="136"/>
      <c r="H27" s="136"/>
      <c r="I27" s="136"/>
      <c r="J27" s="136"/>
      <c r="K27" s="136"/>
      <c r="L27" s="136"/>
      <c r="M27" s="136"/>
      <c r="N27" s="136"/>
    </row>
    <row r="28" spans="2:14" x14ac:dyDescent="0.25">
      <c r="B28" s="36" t="s">
        <v>83</v>
      </c>
      <c r="C28" s="45">
        <v>5000072</v>
      </c>
      <c r="M28" s="136"/>
      <c r="N28" s="136"/>
    </row>
    <row r="29" spans="2:14" x14ac:dyDescent="0.25">
      <c r="B29" s="36" t="s">
        <v>84</v>
      </c>
      <c r="C29" s="46" t="s">
        <v>85</v>
      </c>
    </row>
  </sheetData>
  <mergeCells count="7">
    <mergeCell ref="B2:J2"/>
    <mergeCell ref="K3:K4"/>
    <mergeCell ref="B3:B4"/>
    <mergeCell ref="C3:C4"/>
    <mergeCell ref="D3:D4"/>
    <mergeCell ref="E3:E4"/>
    <mergeCell ref="F3:J3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N37"/>
  <sheetViews>
    <sheetView zoomScaleNormal="100" workbookViewId="0">
      <selection activeCell="C20" sqref="C20"/>
    </sheetView>
  </sheetViews>
  <sheetFormatPr defaultColWidth="10.875" defaultRowHeight="15.75" x14ac:dyDescent="0.25"/>
  <cols>
    <col min="2" max="2" width="52.875" bestFit="1" customWidth="1"/>
    <col min="3" max="3" width="12.5" customWidth="1"/>
    <col min="4" max="5" width="13.125" customWidth="1"/>
    <col min="6" max="10" width="6.125" customWidth="1"/>
    <col min="11" max="11" width="11.125" customWidth="1"/>
  </cols>
  <sheetData>
    <row r="1" spans="2:12" ht="16.5" thickBot="1" x14ac:dyDescent="0.3">
      <c r="C1" s="1"/>
      <c r="D1" s="1"/>
      <c r="E1" s="1"/>
      <c r="F1" s="1"/>
      <c r="G1" s="1"/>
      <c r="H1" s="1"/>
      <c r="I1" s="1"/>
      <c r="J1" s="1"/>
    </row>
    <row r="2" spans="2:12" ht="32.25" thickBot="1" x14ac:dyDescent="0.55000000000000004">
      <c r="B2" s="211" t="s">
        <v>575</v>
      </c>
      <c r="C2" s="212"/>
      <c r="D2" s="212"/>
      <c r="E2" s="212"/>
      <c r="F2" s="212"/>
      <c r="G2" s="212"/>
      <c r="H2" s="212"/>
      <c r="I2" s="212"/>
      <c r="J2" s="213"/>
    </row>
    <row r="3" spans="2:12" ht="16.5" thickBot="1" x14ac:dyDescent="0.3">
      <c r="B3" s="252" t="s">
        <v>41</v>
      </c>
      <c r="C3" s="254" t="s">
        <v>42</v>
      </c>
      <c r="D3" s="256" t="s">
        <v>139</v>
      </c>
      <c r="E3" s="243" t="s">
        <v>44</v>
      </c>
      <c r="F3" s="258" t="s">
        <v>179</v>
      </c>
      <c r="G3" s="225"/>
      <c r="H3" s="225"/>
      <c r="I3" s="225"/>
      <c r="J3" s="225"/>
      <c r="K3" s="214" t="s">
        <v>114</v>
      </c>
    </row>
    <row r="4" spans="2:12" ht="16.5" thickBot="1" x14ac:dyDescent="0.3">
      <c r="B4" s="253"/>
      <c r="C4" s="255"/>
      <c r="D4" s="257"/>
      <c r="E4" s="244"/>
      <c r="F4" s="16">
        <v>100</v>
      </c>
      <c r="G4" s="9">
        <v>250</v>
      </c>
      <c r="H4" s="9">
        <v>500</v>
      </c>
      <c r="I4" s="9">
        <v>1000</v>
      </c>
      <c r="J4" s="9">
        <v>2000</v>
      </c>
      <c r="K4" s="215"/>
    </row>
    <row r="5" spans="2:12" x14ac:dyDescent="0.25">
      <c r="B5" s="89" t="s">
        <v>47</v>
      </c>
      <c r="C5" s="90" t="s">
        <v>502</v>
      </c>
      <c r="D5" s="90">
        <v>1</v>
      </c>
      <c r="E5" s="90"/>
      <c r="F5" s="78"/>
      <c r="G5" s="78" t="s">
        <v>49</v>
      </c>
      <c r="H5" s="78" t="s">
        <v>49</v>
      </c>
      <c r="I5" s="78" t="s">
        <v>49</v>
      </c>
      <c r="J5" s="78" t="s">
        <v>49</v>
      </c>
    </row>
    <row r="6" spans="2:12" x14ac:dyDescent="0.25">
      <c r="B6" s="60" t="s">
        <v>576</v>
      </c>
      <c r="C6" s="118" t="s">
        <v>577</v>
      </c>
      <c r="D6" s="25">
        <v>1</v>
      </c>
      <c r="E6" s="25"/>
      <c r="F6" s="25"/>
      <c r="G6" s="25" t="s">
        <v>49</v>
      </c>
      <c r="H6" s="25" t="s">
        <v>49</v>
      </c>
      <c r="I6" s="25" t="s">
        <v>49</v>
      </c>
      <c r="J6" s="25" t="s">
        <v>49</v>
      </c>
      <c r="K6" s="15"/>
    </row>
    <row r="7" spans="2:12" x14ac:dyDescent="0.25">
      <c r="B7" s="60" t="s">
        <v>578</v>
      </c>
      <c r="C7" s="118" t="s">
        <v>485</v>
      </c>
      <c r="D7" s="25">
        <v>1</v>
      </c>
      <c r="E7" s="25"/>
      <c r="F7" s="25"/>
      <c r="G7" s="25"/>
      <c r="H7" s="25" t="s">
        <v>49</v>
      </c>
      <c r="I7" s="25" t="s">
        <v>49</v>
      </c>
      <c r="J7" s="25" t="s">
        <v>49</v>
      </c>
      <c r="K7" s="25" t="s">
        <v>486</v>
      </c>
    </row>
    <row r="8" spans="2:12" x14ac:dyDescent="0.25">
      <c r="B8" s="60" t="s">
        <v>579</v>
      </c>
      <c r="C8" s="25" t="s">
        <v>580</v>
      </c>
      <c r="D8" s="25">
        <v>1</v>
      </c>
      <c r="E8" s="25"/>
      <c r="F8" s="25"/>
      <c r="G8" s="25" t="s">
        <v>49</v>
      </c>
      <c r="H8" s="25" t="s">
        <v>49</v>
      </c>
      <c r="I8" s="25" t="s">
        <v>49</v>
      </c>
      <c r="J8" s="25" t="s">
        <v>49</v>
      </c>
    </row>
    <row r="9" spans="2:12" x14ac:dyDescent="0.25">
      <c r="B9" s="60" t="s">
        <v>482</v>
      </c>
      <c r="C9" s="25" t="s">
        <v>581</v>
      </c>
      <c r="D9" s="25">
        <v>1</v>
      </c>
      <c r="E9" s="25"/>
      <c r="F9" s="25"/>
      <c r="G9" s="25"/>
      <c r="H9" s="25" t="s">
        <v>49</v>
      </c>
      <c r="I9" s="25" t="s">
        <v>49</v>
      </c>
      <c r="J9" s="25" t="s">
        <v>49</v>
      </c>
    </row>
    <row r="10" spans="2:12" x14ac:dyDescent="0.25">
      <c r="B10" s="60" t="s">
        <v>52</v>
      </c>
      <c r="C10" s="25" t="s">
        <v>553</v>
      </c>
      <c r="D10" s="25">
        <v>1</v>
      </c>
      <c r="E10" s="25"/>
      <c r="F10" s="25"/>
      <c r="G10" s="25"/>
      <c r="H10" s="25" t="s">
        <v>49</v>
      </c>
      <c r="I10" s="25" t="s">
        <v>49</v>
      </c>
      <c r="J10" s="25" t="s">
        <v>49</v>
      </c>
    </row>
    <row r="11" spans="2:12" x14ac:dyDescent="0.25">
      <c r="B11" s="60" t="s">
        <v>54</v>
      </c>
      <c r="C11" s="25" t="s">
        <v>554</v>
      </c>
      <c r="D11" s="25">
        <v>1</v>
      </c>
      <c r="E11" s="25"/>
      <c r="F11" s="25"/>
      <c r="G11" s="25"/>
      <c r="H11" s="25"/>
      <c r="I11" s="25" t="s">
        <v>49</v>
      </c>
      <c r="J11" s="25" t="s">
        <v>49</v>
      </c>
    </row>
    <row r="12" spans="2:12" x14ac:dyDescent="0.25">
      <c r="B12" s="60" t="s">
        <v>555</v>
      </c>
      <c r="C12" s="25" t="s">
        <v>556</v>
      </c>
      <c r="D12" s="25">
        <v>1</v>
      </c>
      <c r="E12" s="25"/>
      <c r="F12" s="25"/>
      <c r="G12" s="25"/>
      <c r="H12" s="25"/>
      <c r="I12" s="25"/>
      <c r="J12" s="25" t="s">
        <v>49</v>
      </c>
      <c r="L12" s="170"/>
    </row>
    <row r="13" spans="2:12" ht="16.5" thickBot="1" x14ac:dyDescent="0.3">
      <c r="B13" s="60" t="s">
        <v>236</v>
      </c>
      <c r="C13" s="25" t="s">
        <v>582</v>
      </c>
      <c r="D13" s="25">
        <v>2</v>
      </c>
      <c r="E13" s="25"/>
      <c r="F13" s="25"/>
      <c r="G13" s="25"/>
      <c r="H13" s="25"/>
      <c r="I13" s="25"/>
      <c r="J13" s="25" t="s">
        <v>49</v>
      </c>
      <c r="L13" s="171"/>
    </row>
    <row r="14" spans="2:12" x14ac:dyDescent="0.25">
      <c r="B14" s="60" t="s">
        <v>238</v>
      </c>
      <c r="C14" s="25" t="s">
        <v>583</v>
      </c>
      <c r="D14" s="25">
        <v>1</v>
      </c>
      <c r="E14" s="25"/>
      <c r="F14" s="133" t="s">
        <v>49</v>
      </c>
      <c r="G14" s="25"/>
      <c r="H14" s="25" t="s">
        <v>49</v>
      </c>
      <c r="I14" s="25" t="s">
        <v>49</v>
      </c>
      <c r="J14" s="25" t="s">
        <v>49</v>
      </c>
    </row>
    <row r="15" spans="2:12" x14ac:dyDescent="0.25">
      <c r="B15" s="60" t="s">
        <v>240</v>
      </c>
      <c r="C15" s="25" t="s">
        <v>558</v>
      </c>
      <c r="D15" s="25">
        <v>1</v>
      </c>
      <c r="E15" s="25"/>
      <c r="F15" s="133" t="s">
        <v>49</v>
      </c>
      <c r="G15" s="25"/>
      <c r="H15" s="25" t="s">
        <v>49</v>
      </c>
      <c r="I15" s="25" t="s">
        <v>49</v>
      </c>
      <c r="J15" s="25" t="s">
        <v>49</v>
      </c>
    </row>
    <row r="16" spans="2:12" x14ac:dyDescent="0.25">
      <c r="B16" s="60" t="s">
        <v>584</v>
      </c>
      <c r="C16" s="25" t="s">
        <v>585</v>
      </c>
      <c r="D16" s="25">
        <v>1</v>
      </c>
      <c r="E16" s="25"/>
      <c r="F16" s="25"/>
      <c r="G16" s="25"/>
      <c r="H16" s="25"/>
      <c r="I16" s="25"/>
      <c r="J16" s="25" t="s">
        <v>49</v>
      </c>
    </row>
    <row r="17" spans="2:14" x14ac:dyDescent="0.25">
      <c r="B17" s="60" t="s">
        <v>586</v>
      </c>
      <c r="C17" s="25" t="s">
        <v>587</v>
      </c>
      <c r="D17" s="25">
        <v>1</v>
      </c>
      <c r="E17" s="25"/>
      <c r="F17" s="25"/>
      <c r="G17" s="25"/>
      <c r="H17" s="25"/>
      <c r="I17" s="25" t="s">
        <v>49</v>
      </c>
      <c r="J17" s="25" t="s">
        <v>49</v>
      </c>
      <c r="K17" s="25" t="s">
        <v>588</v>
      </c>
    </row>
    <row r="18" spans="2:14" x14ac:dyDescent="0.25">
      <c r="B18" s="109" t="s">
        <v>292</v>
      </c>
      <c r="C18" s="25" t="s">
        <v>560</v>
      </c>
      <c r="D18" s="25">
        <v>1</v>
      </c>
      <c r="E18" s="25"/>
      <c r="F18" s="25"/>
      <c r="G18" s="25"/>
      <c r="H18" s="25" t="s">
        <v>49</v>
      </c>
      <c r="I18" s="25" t="s">
        <v>49</v>
      </c>
      <c r="J18" s="25" t="s">
        <v>49</v>
      </c>
    </row>
    <row r="19" spans="2:14" x14ac:dyDescent="0.25">
      <c r="B19" s="109" t="s">
        <v>294</v>
      </c>
      <c r="C19" s="25" t="s">
        <v>561</v>
      </c>
      <c r="D19" s="25">
        <v>1</v>
      </c>
      <c r="E19" s="25"/>
      <c r="F19" s="25"/>
      <c r="G19" s="25"/>
      <c r="H19" s="25" t="s">
        <v>49</v>
      </c>
      <c r="I19" s="25" t="s">
        <v>49</v>
      </c>
      <c r="J19" s="25" t="s">
        <v>49</v>
      </c>
      <c r="K19" s="25" t="s">
        <v>589</v>
      </c>
    </row>
    <row r="20" spans="2:14" x14ac:dyDescent="0.25">
      <c r="B20" s="57" t="s">
        <v>67</v>
      </c>
      <c r="C20" s="21" t="s">
        <v>590</v>
      </c>
      <c r="D20" s="21" t="s">
        <v>343</v>
      </c>
      <c r="E20" s="21" t="s">
        <v>564</v>
      </c>
      <c r="F20" s="21"/>
      <c r="G20" s="21"/>
      <c r="H20" s="21"/>
      <c r="I20" s="21"/>
      <c r="J20" s="21" t="s">
        <v>49</v>
      </c>
      <c r="K20" s="8">
        <v>46</v>
      </c>
    </row>
    <row r="21" spans="2:14" x14ac:dyDescent="0.25">
      <c r="B21" s="33" t="s">
        <v>64</v>
      </c>
      <c r="C21" s="24" t="s">
        <v>65</v>
      </c>
      <c r="D21" s="24" t="s">
        <v>280</v>
      </c>
      <c r="E21" s="24" t="s">
        <v>66</v>
      </c>
      <c r="F21" s="24"/>
      <c r="G21" s="24" t="s">
        <v>49</v>
      </c>
      <c r="H21" s="24" t="s">
        <v>49</v>
      </c>
      <c r="I21" s="24" t="s">
        <v>49</v>
      </c>
      <c r="J21" s="24" t="s">
        <v>49</v>
      </c>
      <c r="K21" s="8" t="s">
        <v>105</v>
      </c>
    </row>
    <row r="22" spans="2:14" x14ac:dyDescent="0.25">
      <c r="B22" s="61" t="s">
        <v>244</v>
      </c>
      <c r="C22" s="29" t="s">
        <v>264</v>
      </c>
      <c r="D22" s="29" t="s">
        <v>591</v>
      </c>
      <c r="E22" s="29" t="s">
        <v>66</v>
      </c>
      <c r="F22" s="138" t="s">
        <v>49</v>
      </c>
      <c r="G22" s="29"/>
      <c r="H22" s="29"/>
      <c r="I22" s="29" t="s">
        <v>49</v>
      </c>
      <c r="J22" s="29" t="s">
        <v>49</v>
      </c>
      <c r="K22" s="8" t="s">
        <v>592</v>
      </c>
    </row>
    <row r="23" spans="2:14" x14ac:dyDescent="0.25">
      <c r="B23" s="59" t="s">
        <v>593</v>
      </c>
      <c r="C23" s="22" t="s">
        <v>344</v>
      </c>
      <c r="D23" s="27" t="s">
        <v>594</v>
      </c>
      <c r="E23" s="27" t="s">
        <v>66</v>
      </c>
      <c r="F23" s="116" t="s">
        <v>49</v>
      </c>
      <c r="G23" s="28"/>
      <c r="H23" s="28"/>
      <c r="I23" s="28" t="s">
        <v>49</v>
      </c>
      <c r="J23" s="28" t="s">
        <v>49</v>
      </c>
      <c r="K23" s="8" t="s">
        <v>569</v>
      </c>
    </row>
    <row r="24" spans="2:14" x14ac:dyDescent="0.25">
      <c r="B24" s="58" t="s">
        <v>75</v>
      </c>
      <c r="C24" s="45">
        <v>5000072</v>
      </c>
      <c r="D24" s="45" t="s">
        <v>595</v>
      </c>
      <c r="E24" s="45" t="s">
        <v>66</v>
      </c>
      <c r="F24" s="45"/>
      <c r="G24" s="45"/>
      <c r="H24" s="45"/>
      <c r="I24" s="45"/>
      <c r="J24" s="45" t="s">
        <v>49</v>
      </c>
      <c r="K24" s="8" t="s">
        <v>110</v>
      </c>
    </row>
    <row r="25" spans="2:14" ht="16.5" thickBot="1" x14ac:dyDescent="0.3">
      <c r="B25" s="30" t="s">
        <v>259</v>
      </c>
      <c r="C25" s="5" t="s">
        <v>70</v>
      </c>
      <c r="D25" s="5" t="s">
        <v>320</v>
      </c>
      <c r="E25" s="5" t="s">
        <v>71</v>
      </c>
      <c r="F25" s="5" t="s">
        <v>49</v>
      </c>
      <c r="G25" s="5" t="s">
        <v>49</v>
      </c>
      <c r="H25" s="5" t="s">
        <v>49</v>
      </c>
      <c r="I25" s="5" t="s">
        <v>49</v>
      </c>
      <c r="J25" s="5" t="s">
        <v>49</v>
      </c>
      <c r="K25" s="8" t="s">
        <v>108</v>
      </c>
    </row>
    <row r="26" spans="2:14" x14ac:dyDescent="0.25">
      <c r="C26" s="1"/>
      <c r="D26" s="1"/>
      <c r="E26" s="1"/>
      <c r="F26" s="1" t="s">
        <v>202</v>
      </c>
      <c r="G26" s="1"/>
      <c r="H26" s="1"/>
      <c r="I26" s="1"/>
      <c r="J26" s="1"/>
    </row>
    <row r="27" spans="2:14" x14ac:dyDescent="0.25">
      <c r="F27" t="s">
        <v>203</v>
      </c>
    </row>
    <row r="28" spans="2:14" ht="15.6" customHeight="1" x14ac:dyDescent="0.25">
      <c r="B28" s="36" t="s">
        <v>77</v>
      </c>
      <c r="C28" s="21" t="s">
        <v>78</v>
      </c>
      <c r="F28" s="122" t="s">
        <v>204</v>
      </c>
      <c r="G28" s="259" t="s">
        <v>596</v>
      </c>
      <c r="H28" s="259"/>
      <c r="I28" s="259"/>
      <c r="J28" s="259"/>
      <c r="K28" s="259"/>
      <c r="L28" s="259"/>
      <c r="M28" s="259"/>
      <c r="N28" s="259"/>
    </row>
    <row r="29" spans="2:14" x14ac:dyDescent="0.25">
      <c r="B29" s="36" t="s">
        <v>260</v>
      </c>
      <c r="C29" s="26" t="s">
        <v>262</v>
      </c>
      <c r="F29" s="134" t="s">
        <v>204</v>
      </c>
      <c r="G29" s="260" t="s">
        <v>571</v>
      </c>
      <c r="H29" s="260"/>
      <c r="I29" s="260"/>
      <c r="J29" s="260"/>
      <c r="K29" s="260"/>
      <c r="L29" s="260"/>
      <c r="M29" s="260"/>
      <c r="N29" s="260"/>
    </row>
    <row r="30" spans="2:14" x14ac:dyDescent="0.25">
      <c r="B30" s="36" t="s">
        <v>170</v>
      </c>
      <c r="C30" s="22" t="s">
        <v>171</v>
      </c>
      <c r="G30" s="139"/>
      <c r="H30" s="139"/>
      <c r="I30" s="139"/>
      <c r="J30" s="139"/>
      <c r="K30" s="139"/>
      <c r="L30" s="139"/>
      <c r="M30" s="139"/>
    </row>
    <row r="31" spans="2:14" x14ac:dyDescent="0.25">
      <c r="B31" s="36" t="s">
        <v>263</v>
      </c>
      <c r="C31" s="29" t="s">
        <v>264</v>
      </c>
      <c r="F31" s="134"/>
      <c r="G31" s="135"/>
    </row>
    <row r="32" spans="2:14" x14ac:dyDescent="0.25">
      <c r="B32" s="36" t="s">
        <v>80</v>
      </c>
      <c r="C32" s="24" t="s">
        <v>74</v>
      </c>
      <c r="G32" s="136"/>
      <c r="H32" s="136"/>
      <c r="I32" s="136"/>
      <c r="J32" s="136"/>
      <c r="K32" s="136"/>
      <c r="L32" s="136"/>
      <c r="M32" s="136"/>
      <c r="N32" s="136"/>
    </row>
    <row r="33" spans="2:14" x14ac:dyDescent="0.25">
      <c r="B33" s="36" t="s">
        <v>83</v>
      </c>
      <c r="C33" s="45">
        <v>5000072</v>
      </c>
      <c r="G33" s="136"/>
      <c r="H33" s="136"/>
      <c r="I33" s="136"/>
      <c r="J33" s="136"/>
      <c r="K33" s="136"/>
      <c r="L33" s="136"/>
      <c r="M33" s="136"/>
      <c r="N33" s="136"/>
    </row>
    <row r="34" spans="2:14" x14ac:dyDescent="0.25">
      <c r="B34" s="36" t="s">
        <v>84</v>
      </c>
      <c r="C34" s="46" t="s">
        <v>85</v>
      </c>
    </row>
    <row r="37" spans="2:14" x14ac:dyDescent="0.25">
      <c r="B37" s="36"/>
    </row>
  </sheetData>
  <mergeCells count="9">
    <mergeCell ref="B2:J2"/>
    <mergeCell ref="K3:K4"/>
    <mergeCell ref="G28:N28"/>
    <mergeCell ref="G29:N29"/>
    <mergeCell ref="B3:B4"/>
    <mergeCell ref="C3:C4"/>
    <mergeCell ref="D3:D4"/>
    <mergeCell ref="F3:J3"/>
    <mergeCell ref="E3:E4"/>
  </mergeCells>
  <pageMargins left="0.7" right="0.7" top="0.75" bottom="0.75" header="0.3" footer="0.3"/>
  <pageSetup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8F03-BF33-40FF-9E4F-AB0B2A33D8DA}">
  <dimension ref="A1:N41"/>
  <sheetViews>
    <sheetView zoomScale="60" zoomScaleNormal="60" workbookViewId="0">
      <selection activeCell="C6" sqref="C6"/>
    </sheetView>
  </sheetViews>
  <sheetFormatPr defaultColWidth="11" defaultRowHeight="15.75" x14ac:dyDescent="0.25"/>
  <cols>
    <col min="1" max="1" width="16.375" bestFit="1" customWidth="1"/>
    <col min="2" max="2" width="41" bestFit="1" customWidth="1"/>
    <col min="3" max="3" width="13.25" customWidth="1"/>
    <col min="4" max="4" width="22.875" customWidth="1"/>
    <col min="5" max="5" width="14.5" customWidth="1"/>
    <col min="6" max="8" width="11" customWidth="1"/>
    <col min="12" max="12" width="23.25" customWidth="1"/>
    <col min="14" max="14" width="18.5" customWidth="1"/>
  </cols>
  <sheetData>
    <row r="1" spans="1:13" ht="16.5" thickBot="1" x14ac:dyDescent="0.3"/>
    <row r="2" spans="1:13" ht="32.25" thickBot="1" x14ac:dyDescent="0.55000000000000004">
      <c r="B2" s="211" t="s">
        <v>597</v>
      </c>
      <c r="C2" s="212"/>
      <c r="D2" s="212"/>
      <c r="E2" s="212"/>
      <c r="F2" s="212"/>
      <c r="G2" s="212"/>
      <c r="H2" s="212"/>
      <c r="I2" s="212"/>
      <c r="J2" s="212"/>
      <c r="K2" s="213"/>
    </row>
    <row r="3" spans="1:13" ht="16.5" thickBot="1" x14ac:dyDescent="0.3">
      <c r="B3" s="216" t="s">
        <v>41</v>
      </c>
      <c r="C3" s="218" t="s">
        <v>42</v>
      </c>
      <c r="D3" s="220" t="s">
        <v>139</v>
      </c>
      <c r="E3" s="222" t="s">
        <v>44</v>
      </c>
      <c r="F3" s="225"/>
      <c r="G3" s="225"/>
      <c r="H3" s="225"/>
      <c r="I3" s="225"/>
      <c r="J3" s="226"/>
      <c r="K3" s="226"/>
      <c r="M3" s="261" t="s">
        <v>114</v>
      </c>
    </row>
    <row r="4" spans="1:13" ht="16.5" thickBot="1" x14ac:dyDescent="0.3">
      <c r="B4" s="229"/>
      <c r="C4" s="219"/>
      <c r="D4" s="230"/>
      <c r="E4" s="231"/>
      <c r="F4" s="9">
        <v>250</v>
      </c>
      <c r="G4" s="9">
        <v>500</v>
      </c>
      <c r="H4" s="9">
        <v>1000</v>
      </c>
      <c r="I4" s="9">
        <v>2000</v>
      </c>
      <c r="J4" s="9">
        <v>4000</v>
      </c>
      <c r="K4" s="193">
        <v>5000</v>
      </c>
      <c r="L4" s="14">
        <v>8000</v>
      </c>
      <c r="M4" s="262"/>
    </row>
    <row r="5" spans="1:13" x14ac:dyDescent="0.25">
      <c r="A5" t="s">
        <v>598</v>
      </c>
      <c r="B5" s="77" t="s">
        <v>47</v>
      </c>
      <c r="C5" s="78" t="s">
        <v>599</v>
      </c>
      <c r="D5" s="78">
        <v>1</v>
      </c>
      <c r="E5" s="78"/>
      <c r="F5" s="78" t="s">
        <v>600</v>
      </c>
      <c r="G5" s="78" t="s">
        <v>600</v>
      </c>
      <c r="H5" s="78" t="s">
        <v>600</v>
      </c>
      <c r="I5" s="78" t="s">
        <v>600</v>
      </c>
      <c r="J5" s="97" t="s">
        <v>600</v>
      </c>
      <c r="K5" s="97" t="s">
        <v>600</v>
      </c>
      <c r="L5" s="92"/>
      <c r="M5" s="197" t="s">
        <v>502</v>
      </c>
    </row>
    <row r="6" spans="1:13" x14ac:dyDescent="0.25">
      <c r="A6" t="s">
        <v>601</v>
      </c>
      <c r="B6" s="60" t="s">
        <v>338</v>
      </c>
      <c r="C6" s="25" t="s">
        <v>504</v>
      </c>
      <c r="D6" s="25">
        <v>1</v>
      </c>
      <c r="E6" s="25"/>
      <c r="F6" s="25" t="s">
        <v>600</v>
      </c>
      <c r="G6" s="25" t="s">
        <v>600</v>
      </c>
      <c r="H6" s="25" t="s">
        <v>600</v>
      </c>
      <c r="I6" s="25" t="s">
        <v>600</v>
      </c>
      <c r="J6" s="69" t="s">
        <v>600</v>
      </c>
      <c r="K6" s="69" t="s">
        <v>600</v>
      </c>
      <c r="L6" s="92"/>
      <c r="M6" s="197"/>
    </row>
    <row r="7" spans="1:13" x14ac:dyDescent="0.25">
      <c r="A7" t="s">
        <v>602</v>
      </c>
      <c r="B7" s="60" t="s">
        <v>484</v>
      </c>
      <c r="C7" s="25" t="s">
        <v>485</v>
      </c>
      <c r="D7" s="25">
        <v>2</v>
      </c>
      <c r="E7" s="25"/>
      <c r="F7" s="25" t="s">
        <v>600</v>
      </c>
      <c r="G7" s="25" t="s">
        <v>600</v>
      </c>
      <c r="H7" s="25" t="s">
        <v>600</v>
      </c>
      <c r="I7" s="25" t="s">
        <v>600</v>
      </c>
      <c r="J7" s="69" t="s">
        <v>600</v>
      </c>
      <c r="K7" s="69" t="s">
        <v>600</v>
      </c>
      <c r="L7" s="92"/>
      <c r="M7" s="197" t="s">
        <v>486</v>
      </c>
    </row>
    <row r="8" spans="1:13" x14ac:dyDescent="0.25">
      <c r="A8" t="s">
        <v>601</v>
      </c>
      <c r="B8" s="60" t="s">
        <v>435</v>
      </c>
      <c r="C8" s="25" t="s">
        <v>505</v>
      </c>
      <c r="D8" s="25">
        <v>1</v>
      </c>
      <c r="E8" s="25"/>
      <c r="F8" s="25" t="s">
        <v>600</v>
      </c>
      <c r="G8" s="25" t="s">
        <v>600</v>
      </c>
      <c r="H8" s="25" t="s">
        <v>600</v>
      </c>
      <c r="I8" s="25" t="s">
        <v>600</v>
      </c>
      <c r="J8" s="69" t="s">
        <v>600</v>
      </c>
      <c r="K8" s="69" t="s">
        <v>600</v>
      </c>
      <c r="L8" s="92"/>
      <c r="M8" s="198"/>
    </row>
    <row r="9" spans="1:13" x14ac:dyDescent="0.25">
      <c r="B9" s="60" t="s">
        <v>52</v>
      </c>
      <c r="C9" s="25" t="s">
        <v>603</v>
      </c>
      <c r="D9" s="25">
        <v>1</v>
      </c>
      <c r="E9" s="25"/>
      <c r="F9" s="25"/>
      <c r="G9" s="25" t="s">
        <v>600</v>
      </c>
      <c r="H9" s="25" t="s">
        <v>600</v>
      </c>
      <c r="I9" s="25" t="s">
        <v>600</v>
      </c>
      <c r="J9" s="69" t="s">
        <v>600</v>
      </c>
      <c r="K9" s="69" t="s">
        <v>600</v>
      </c>
      <c r="L9" s="92"/>
      <c r="M9" s="198"/>
    </row>
    <row r="10" spans="1:13" x14ac:dyDescent="0.25">
      <c r="B10" s="60" t="s">
        <v>54</v>
      </c>
      <c r="C10" s="25" t="s">
        <v>604</v>
      </c>
      <c r="D10" s="25">
        <v>1</v>
      </c>
      <c r="E10" s="25"/>
      <c r="F10" s="25"/>
      <c r="G10" s="25"/>
      <c r="H10" s="25" t="s">
        <v>600</v>
      </c>
      <c r="I10" s="25" t="s">
        <v>600</v>
      </c>
      <c r="J10" s="69" t="s">
        <v>600</v>
      </c>
      <c r="K10" s="69" t="s">
        <v>600</v>
      </c>
      <c r="L10" s="92"/>
      <c r="M10" s="198"/>
    </row>
    <row r="11" spans="1:13" x14ac:dyDescent="0.25">
      <c r="B11" s="60" t="s">
        <v>380</v>
      </c>
      <c r="C11" s="25" t="s">
        <v>605</v>
      </c>
      <c r="D11" s="25">
        <v>1</v>
      </c>
      <c r="E11" s="25"/>
      <c r="F11" s="25"/>
      <c r="G11" s="133"/>
      <c r="H11" s="25" t="s">
        <v>600</v>
      </c>
      <c r="I11" s="25" t="s">
        <v>600</v>
      </c>
      <c r="J11" s="69" t="s">
        <v>600</v>
      </c>
      <c r="K11" s="69" t="s">
        <v>600</v>
      </c>
      <c r="L11" s="92"/>
      <c r="M11" s="198"/>
    </row>
    <row r="12" spans="1:13" x14ac:dyDescent="0.25">
      <c r="A12" t="s">
        <v>606</v>
      </c>
      <c r="B12" s="60" t="s">
        <v>402</v>
      </c>
      <c r="C12" s="25" t="s">
        <v>403</v>
      </c>
      <c r="D12" s="25">
        <v>1</v>
      </c>
      <c r="E12" s="191"/>
      <c r="F12" s="25"/>
      <c r="G12" s="133" t="s">
        <v>49</v>
      </c>
      <c r="H12" s="25" t="s">
        <v>49</v>
      </c>
      <c r="I12" s="25" t="s">
        <v>49</v>
      </c>
      <c r="J12" s="69" t="s">
        <v>49</v>
      </c>
      <c r="K12" s="69" t="s">
        <v>49</v>
      </c>
      <c r="L12" s="92"/>
      <c r="M12" s="198" t="s">
        <v>607</v>
      </c>
    </row>
    <row r="13" spans="1:13" x14ac:dyDescent="0.25">
      <c r="B13" s="60" t="s">
        <v>608</v>
      </c>
      <c r="C13" s="25" t="s">
        <v>539</v>
      </c>
      <c r="D13" s="25">
        <v>1</v>
      </c>
      <c r="E13" s="25"/>
      <c r="F13" s="25"/>
      <c r="G13" s="133"/>
      <c r="H13" s="25" t="s">
        <v>49</v>
      </c>
      <c r="I13" s="25" t="s">
        <v>49</v>
      </c>
      <c r="J13" s="69" t="s">
        <v>49</v>
      </c>
      <c r="K13" s="69" t="s">
        <v>49</v>
      </c>
      <c r="L13" s="92"/>
      <c r="M13" s="198"/>
    </row>
    <row r="14" spans="1:13" x14ac:dyDescent="0.25">
      <c r="A14" t="s">
        <v>609</v>
      </c>
      <c r="B14" s="60" t="s">
        <v>294</v>
      </c>
      <c r="C14" s="25" t="s">
        <v>411</v>
      </c>
      <c r="D14" s="25">
        <v>2</v>
      </c>
      <c r="E14" s="25"/>
      <c r="F14" s="25"/>
      <c r="G14" s="25" t="s">
        <v>600</v>
      </c>
      <c r="H14" s="25" t="s">
        <v>600</v>
      </c>
      <c r="I14" s="25" t="s">
        <v>600</v>
      </c>
      <c r="J14" s="69" t="s">
        <v>600</v>
      </c>
      <c r="K14" s="69" t="s">
        <v>600</v>
      </c>
      <c r="L14" s="92"/>
      <c r="M14" s="198" t="s">
        <v>411</v>
      </c>
    </row>
    <row r="15" spans="1:13" x14ac:dyDescent="0.25">
      <c r="B15" s="60" t="s">
        <v>610</v>
      </c>
      <c r="C15" s="25" t="s">
        <v>611</v>
      </c>
      <c r="D15" s="25">
        <v>6</v>
      </c>
      <c r="E15" s="25"/>
      <c r="F15" s="25"/>
      <c r="G15" s="25"/>
      <c r="H15" s="25"/>
      <c r="I15" s="25"/>
      <c r="J15" s="69"/>
      <c r="K15" s="69"/>
      <c r="L15" s="26" t="s">
        <v>49</v>
      </c>
      <c r="M15" s="198"/>
    </row>
    <row r="16" spans="1:13" x14ac:dyDescent="0.25">
      <c r="B16" s="60" t="s">
        <v>612</v>
      </c>
      <c r="C16" s="25" t="s">
        <v>467</v>
      </c>
      <c r="D16" s="25">
        <v>1</v>
      </c>
      <c r="E16" s="25"/>
      <c r="F16" s="25"/>
      <c r="G16" s="25"/>
      <c r="H16" s="25" t="s">
        <v>600</v>
      </c>
      <c r="I16" s="25" t="s">
        <v>600</v>
      </c>
      <c r="J16" s="69" t="s">
        <v>600</v>
      </c>
      <c r="K16" s="69" t="s">
        <v>600</v>
      </c>
      <c r="L16" s="92"/>
      <c r="M16" s="198" t="s">
        <v>468</v>
      </c>
    </row>
    <row r="17" spans="2:14" x14ac:dyDescent="0.25">
      <c r="B17" s="60" t="s">
        <v>613</v>
      </c>
      <c r="C17" s="25" t="s">
        <v>410</v>
      </c>
      <c r="D17" s="25"/>
      <c r="E17" s="25"/>
      <c r="F17" s="25"/>
      <c r="G17" s="25"/>
      <c r="H17" s="25"/>
      <c r="I17" s="25" t="s">
        <v>49</v>
      </c>
      <c r="J17" s="69" t="s">
        <v>49</v>
      </c>
      <c r="K17" s="69"/>
      <c r="L17" s="92"/>
      <c r="M17" s="198" t="s">
        <v>614</v>
      </c>
    </row>
    <row r="18" spans="2:14" x14ac:dyDescent="0.25">
      <c r="B18" s="60" t="s">
        <v>615</v>
      </c>
      <c r="C18" s="25" t="s">
        <v>491</v>
      </c>
      <c r="D18" s="25">
        <v>1</v>
      </c>
      <c r="E18" s="25"/>
      <c r="F18" s="25"/>
      <c r="G18" s="25" t="s">
        <v>49</v>
      </c>
      <c r="H18" s="25" t="s">
        <v>49</v>
      </c>
      <c r="I18" s="25" t="s">
        <v>49</v>
      </c>
      <c r="J18" s="69" t="s">
        <v>49</v>
      </c>
      <c r="K18" s="69" t="s">
        <v>49</v>
      </c>
      <c r="L18" s="92"/>
      <c r="M18" s="198" t="s">
        <v>492</v>
      </c>
    </row>
    <row r="19" spans="2:14" x14ac:dyDescent="0.25">
      <c r="B19" s="60" t="s">
        <v>616</v>
      </c>
      <c r="C19" s="25" t="s">
        <v>120</v>
      </c>
      <c r="D19" s="25">
        <v>1</v>
      </c>
      <c r="E19" s="25"/>
      <c r="F19" s="25"/>
      <c r="G19" s="25"/>
      <c r="H19" s="25" t="s">
        <v>600</v>
      </c>
      <c r="I19" s="25" t="s">
        <v>600</v>
      </c>
      <c r="J19" s="69" t="s">
        <v>600</v>
      </c>
      <c r="K19" s="69" t="s">
        <v>600</v>
      </c>
      <c r="L19" s="92"/>
      <c r="M19" s="198"/>
    </row>
    <row r="20" spans="2:14" x14ac:dyDescent="0.25">
      <c r="B20" s="10" t="s">
        <v>414</v>
      </c>
      <c r="C20" s="34" t="s">
        <v>513</v>
      </c>
      <c r="D20" s="34">
        <v>1</v>
      </c>
      <c r="E20" s="14"/>
      <c r="F20" s="14"/>
      <c r="G20" s="14"/>
      <c r="H20" s="14"/>
      <c r="I20" s="14"/>
      <c r="J20" s="11"/>
      <c r="K20" s="11" t="s">
        <v>600</v>
      </c>
      <c r="L20" s="114"/>
      <c r="M20" s="198"/>
    </row>
    <row r="21" spans="2:14" x14ac:dyDescent="0.25">
      <c r="B21" s="10" t="s">
        <v>152</v>
      </c>
      <c r="C21" s="14" t="s">
        <v>542</v>
      </c>
      <c r="D21" s="14">
        <v>1</v>
      </c>
      <c r="E21" s="14"/>
      <c r="F21" s="14"/>
      <c r="G21" s="14"/>
      <c r="H21" s="14"/>
      <c r="I21" s="14" t="s">
        <v>600</v>
      </c>
      <c r="J21" s="11" t="s">
        <v>600</v>
      </c>
      <c r="K21" s="11"/>
      <c r="L21" s="114"/>
      <c r="M21" s="198"/>
    </row>
    <row r="22" spans="2:14" x14ac:dyDescent="0.25">
      <c r="B22" s="263" t="s">
        <v>617</v>
      </c>
      <c r="C22" s="14" t="s">
        <v>618</v>
      </c>
      <c r="D22" s="190" t="s">
        <v>619</v>
      </c>
      <c r="E22" s="14"/>
      <c r="F22" s="14"/>
      <c r="G22" s="14"/>
      <c r="H22" s="14"/>
      <c r="I22" s="14" t="s">
        <v>600</v>
      </c>
      <c r="J22" s="11" t="s">
        <v>600</v>
      </c>
      <c r="K22" s="11"/>
      <c r="L22" s="114"/>
      <c r="M22" s="198"/>
    </row>
    <row r="23" spans="2:14" x14ac:dyDescent="0.25">
      <c r="B23" s="264"/>
      <c r="C23" s="14" t="s">
        <v>620</v>
      </c>
      <c r="D23" s="190" t="s">
        <v>619</v>
      </c>
      <c r="E23" s="14"/>
      <c r="F23" s="14"/>
      <c r="G23" s="14"/>
      <c r="H23" s="14"/>
      <c r="I23" s="14" t="s">
        <v>600</v>
      </c>
      <c r="J23" s="11" t="s">
        <v>600</v>
      </c>
      <c r="K23" s="11"/>
      <c r="L23" s="114"/>
      <c r="M23" s="198"/>
    </row>
    <row r="24" spans="2:14" x14ac:dyDescent="0.25">
      <c r="B24" s="57" t="s">
        <v>67</v>
      </c>
      <c r="C24" s="183" t="s">
        <v>621</v>
      </c>
      <c r="D24" s="21" t="s">
        <v>622</v>
      </c>
      <c r="E24" s="21"/>
      <c r="F24" s="21"/>
      <c r="G24" s="21"/>
      <c r="H24" s="21"/>
      <c r="I24" s="39" t="s">
        <v>600</v>
      </c>
      <c r="J24" s="39" t="s">
        <v>600</v>
      </c>
      <c r="K24" s="70"/>
      <c r="L24" s="114"/>
      <c r="M24" s="198"/>
    </row>
    <row r="25" spans="2:14" x14ac:dyDescent="0.25">
      <c r="B25" s="33" t="s">
        <v>64</v>
      </c>
      <c r="C25" s="24" t="s">
        <v>623</v>
      </c>
      <c r="D25" s="24" t="s">
        <v>624</v>
      </c>
      <c r="E25" s="24" t="s">
        <v>625</v>
      </c>
      <c r="F25" s="24" t="s">
        <v>600</v>
      </c>
      <c r="G25" s="24" t="s">
        <v>600</v>
      </c>
      <c r="H25" s="24" t="s">
        <v>600</v>
      </c>
      <c r="I25" s="24" t="s">
        <v>600</v>
      </c>
      <c r="J25" s="35" t="s">
        <v>600</v>
      </c>
      <c r="K25" s="35" t="s">
        <v>600</v>
      </c>
      <c r="L25" s="114"/>
      <c r="M25" s="198"/>
      <c r="N25" s="200" t="s">
        <v>626</v>
      </c>
    </row>
    <row r="26" spans="2:14" x14ac:dyDescent="0.25">
      <c r="B26" s="60" t="s">
        <v>388</v>
      </c>
      <c r="C26" s="26" t="s">
        <v>627</v>
      </c>
      <c r="D26" s="25" t="s">
        <v>628</v>
      </c>
      <c r="E26" s="25" t="s">
        <v>629</v>
      </c>
      <c r="F26" s="104" t="s">
        <v>600</v>
      </c>
      <c r="G26" s="104"/>
      <c r="H26" s="25" t="s">
        <v>600</v>
      </c>
      <c r="I26" s="25" t="s">
        <v>600</v>
      </c>
      <c r="J26" s="69" t="s">
        <v>600</v>
      </c>
      <c r="K26" s="69" t="s">
        <v>600</v>
      </c>
      <c r="L26" s="114"/>
      <c r="M26" s="197" t="s">
        <v>630</v>
      </c>
    </row>
    <row r="27" spans="2:14" x14ac:dyDescent="0.25">
      <c r="B27" s="60" t="s">
        <v>390</v>
      </c>
      <c r="C27" s="26" t="s">
        <v>627</v>
      </c>
      <c r="D27" s="26" t="s">
        <v>631</v>
      </c>
      <c r="E27" s="26" t="s">
        <v>629</v>
      </c>
      <c r="F27" s="104" t="s">
        <v>600</v>
      </c>
      <c r="G27" s="104"/>
      <c r="H27" s="25" t="s">
        <v>600</v>
      </c>
      <c r="I27" s="25" t="s">
        <v>600</v>
      </c>
      <c r="J27" s="69" t="s">
        <v>600</v>
      </c>
      <c r="K27" s="69" t="s">
        <v>600</v>
      </c>
      <c r="L27" s="114"/>
      <c r="M27" s="197" t="s">
        <v>630</v>
      </c>
    </row>
    <row r="28" spans="2:14" x14ac:dyDescent="0.25">
      <c r="B28" s="58" t="s">
        <v>75</v>
      </c>
      <c r="C28" s="45" t="s">
        <v>632</v>
      </c>
      <c r="D28" s="45" t="s">
        <v>633</v>
      </c>
      <c r="E28" s="45" t="s">
        <v>634</v>
      </c>
      <c r="F28" s="45"/>
      <c r="G28" s="45"/>
      <c r="H28" s="45"/>
      <c r="I28" s="45" t="s">
        <v>600</v>
      </c>
      <c r="J28" s="71" t="s">
        <v>600</v>
      </c>
      <c r="K28" s="71"/>
      <c r="L28" s="114"/>
      <c r="M28" s="197"/>
    </row>
    <row r="29" spans="2:14" x14ac:dyDescent="0.25">
      <c r="B29" s="187" t="s">
        <v>635</v>
      </c>
      <c r="C29" s="188" t="s">
        <v>636</v>
      </c>
      <c r="D29" s="188" t="s">
        <v>619</v>
      </c>
      <c r="E29" s="188"/>
      <c r="F29" s="188"/>
      <c r="G29" s="188" t="s">
        <v>49</v>
      </c>
      <c r="H29" s="188" t="s">
        <v>49</v>
      </c>
      <c r="I29" s="188" t="s">
        <v>49</v>
      </c>
      <c r="J29" s="189" t="s">
        <v>49</v>
      </c>
      <c r="K29" s="189" t="s">
        <v>49</v>
      </c>
      <c r="L29" s="114"/>
      <c r="M29" s="197"/>
    </row>
    <row r="30" spans="2:14" ht="16.5" thickBot="1" x14ac:dyDescent="0.3">
      <c r="B30" s="30" t="s">
        <v>637</v>
      </c>
      <c r="C30" s="5" t="s">
        <v>638</v>
      </c>
      <c r="D30" s="5" t="s">
        <v>619</v>
      </c>
      <c r="E30" s="5"/>
      <c r="F30" s="5" t="s">
        <v>49</v>
      </c>
      <c r="G30" s="5" t="s">
        <v>49</v>
      </c>
      <c r="H30" s="5" t="s">
        <v>49</v>
      </c>
      <c r="I30" s="5" t="s">
        <v>49</v>
      </c>
      <c r="J30" s="68" t="s">
        <v>49</v>
      </c>
      <c r="K30" s="68" t="s">
        <v>49</v>
      </c>
      <c r="L30" s="114"/>
      <c r="M30" s="199"/>
    </row>
    <row r="31" spans="2:14" x14ac:dyDescent="0.25">
      <c r="C31" s="1"/>
      <c r="D31" s="1"/>
      <c r="E31" s="1"/>
      <c r="F31" s="1"/>
      <c r="G31" s="1"/>
      <c r="H31" s="1"/>
      <c r="I31" s="1"/>
      <c r="J31" s="1"/>
      <c r="K31" s="1"/>
      <c r="L31" s="194"/>
    </row>
    <row r="32" spans="2:14" x14ac:dyDescent="0.25">
      <c r="D32" t="s">
        <v>203</v>
      </c>
      <c r="J32" s="8"/>
    </row>
    <row r="33" spans="3:14" x14ac:dyDescent="0.25">
      <c r="D33" s="122" t="s">
        <v>204</v>
      </c>
      <c r="E33" s="186" t="s">
        <v>639</v>
      </c>
      <c r="F33" s="185"/>
      <c r="G33" s="185"/>
      <c r="H33" s="185"/>
      <c r="I33" s="185"/>
      <c r="J33" s="8"/>
    </row>
    <row r="34" spans="3:14" x14ac:dyDescent="0.25">
      <c r="E34" s="185"/>
      <c r="F34" s="185"/>
      <c r="G34" s="185"/>
      <c r="H34" s="185"/>
      <c r="I34" s="185"/>
      <c r="J34" s="8"/>
    </row>
    <row r="35" spans="3:14" x14ac:dyDescent="0.25">
      <c r="E35" s="185"/>
      <c r="F35" s="185"/>
      <c r="G35" s="185"/>
      <c r="H35" s="185"/>
      <c r="I35" s="185"/>
    </row>
    <row r="36" spans="3:14" x14ac:dyDescent="0.25">
      <c r="D36" s="134" t="s">
        <v>204</v>
      </c>
      <c r="E36" s="135" t="s">
        <v>424</v>
      </c>
      <c r="F36" s="132"/>
      <c r="G36" s="132"/>
      <c r="H36" s="132"/>
      <c r="I36" s="132"/>
    </row>
    <row r="37" spans="3:14" x14ac:dyDescent="0.25">
      <c r="C37" s="1"/>
      <c r="D37" s="1"/>
      <c r="E37" s="1"/>
      <c r="F37" s="1"/>
      <c r="G37" s="184"/>
      <c r="H37" s="184"/>
      <c r="I37" s="184"/>
      <c r="J37" s="184"/>
      <c r="K37" s="184"/>
      <c r="L37" s="185"/>
      <c r="M37" s="185"/>
      <c r="N37" s="132"/>
    </row>
    <row r="38" spans="3:14" x14ac:dyDescent="0.25">
      <c r="D38" s="195"/>
      <c r="E38" s="196" t="s">
        <v>640</v>
      </c>
      <c r="L38" s="185"/>
      <c r="M38" s="185"/>
      <c r="N38" s="132"/>
    </row>
    <row r="39" spans="3:14" x14ac:dyDescent="0.25">
      <c r="L39" s="132"/>
      <c r="M39" s="132"/>
      <c r="N39" s="132"/>
    </row>
    <row r="40" spans="3:14" ht="15.6" customHeight="1" x14ac:dyDescent="0.25">
      <c r="L40" s="184"/>
      <c r="M40" s="184"/>
      <c r="N40" s="184"/>
    </row>
    <row r="41" spans="3:14" x14ac:dyDescent="0.25">
      <c r="L41" s="184"/>
      <c r="M41" s="184"/>
      <c r="N41" s="184"/>
    </row>
  </sheetData>
  <mergeCells count="8">
    <mergeCell ref="M3:M4"/>
    <mergeCell ref="B22:B23"/>
    <mergeCell ref="B2:K2"/>
    <mergeCell ref="B3:B4"/>
    <mergeCell ref="C3:C4"/>
    <mergeCell ref="D3:D4"/>
    <mergeCell ref="E3:E4"/>
    <mergeCell ref="F3:K3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AAEC-436E-4449-813C-F9808F40FFD2}">
  <dimension ref="A1:J33"/>
  <sheetViews>
    <sheetView topLeftCell="A11" workbookViewId="0">
      <selection activeCell="B6" sqref="B6"/>
    </sheetView>
  </sheetViews>
  <sheetFormatPr defaultColWidth="11" defaultRowHeight="15.75" x14ac:dyDescent="0.25"/>
  <cols>
    <col min="1" max="1" width="41" bestFit="1" customWidth="1"/>
  </cols>
  <sheetData>
    <row r="1" spans="1:10" ht="32.25" thickBot="1" x14ac:dyDescent="0.55000000000000004">
      <c r="A1" s="211" t="s">
        <v>641</v>
      </c>
      <c r="B1" s="212"/>
      <c r="C1" s="212"/>
      <c r="D1" s="212"/>
      <c r="E1" s="212"/>
      <c r="F1" s="212"/>
      <c r="G1" s="212"/>
      <c r="H1" s="212"/>
      <c r="I1" s="212"/>
      <c r="J1" s="213"/>
    </row>
    <row r="2" spans="1:10" ht="16.5" thickBot="1" x14ac:dyDescent="0.3">
      <c r="A2" s="216" t="s">
        <v>41</v>
      </c>
      <c r="B2" s="218" t="s">
        <v>42</v>
      </c>
      <c r="C2" s="220" t="s">
        <v>139</v>
      </c>
      <c r="D2" s="222" t="s">
        <v>44</v>
      </c>
      <c r="E2" s="225"/>
      <c r="F2" s="225"/>
      <c r="G2" s="225"/>
      <c r="H2" s="225"/>
      <c r="I2" s="226"/>
      <c r="J2" s="227"/>
    </row>
    <row r="3" spans="1:10" ht="16.5" thickBot="1" x14ac:dyDescent="0.3">
      <c r="A3" s="229"/>
      <c r="B3" s="219"/>
      <c r="C3" s="230"/>
      <c r="D3" s="231"/>
      <c r="E3" s="9">
        <v>250</v>
      </c>
      <c r="F3" s="9">
        <v>500</v>
      </c>
      <c r="G3" s="9">
        <v>1000</v>
      </c>
      <c r="H3" s="9">
        <v>2000</v>
      </c>
      <c r="I3" s="9">
        <v>4000</v>
      </c>
      <c r="J3" s="9">
        <v>5000</v>
      </c>
    </row>
    <row r="4" spans="1:10" x14ac:dyDescent="0.25">
      <c r="A4" s="77" t="s">
        <v>47</v>
      </c>
      <c r="B4" s="78" t="s">
        <v>461</v>
      </c>
      <c r="C4" s="78">
        <v>1</v>
      </c>
      <c r="D4" s="78"/>
      <c r="E4" s="78" t="s">
        <v>49</v>
      </c>
      <c r="F4" s="78" t="s">
        <v>49</v>
      </c>
      <c r="G4" s="78" t="s">
        <v>49</v>
      </c>
      <c r="H4" s="78" t="s">
        <v>49</v>
      </c>
      <c r="I4" s="97" t="s">
        <v>49</v>
      </c>
      <c r="J4" s="96" t="s">
        <v>49</v>
      </c>
    </row>
    <row r="5" spans="1:10" x14ac:dyDescent="0.25">
      <c r="A5" s="60" t="s">
        <v>338</v>
      </c>
      <c r="B5" s="25" t="s">
        <v>462</v>
      </c>
      <c r="C5" s="25">
        <v>1</v>
      </c>
      <c r="D5" s="25"/>
      <c r="E5" s="25" t="s">
        <v>49</v>
      </c>
      <c r="F5" s="25" t="s">
        <v>49</v>
      </c>
      <c r="G5" s="25" t="s">
        <v>49</v>
      </c>
      <c r="H5" s="25" t="s">
        <v>49</v>
      </c>
      <c r="I5" s="69" t="s">
        <v>49</v>
      </c>
      <c r="J5" s="47" t="s">
        <v>49</v>
      </c>
    </row>
    <row r="6" spans="1:10" x14ac:dyDescent="0.25">
      <c r="A6" s="60" t="s">
        <v>463</v>
      </c>
      <c r="B6" s="25" t="s">
        <v>464</v>
      </c>
      <c r="C6" s="25">
        <v>1</v>
      </c>
      <c r="D6" s="25"/>
      <c r="E6" s="25" t="s">
        <v>49</v>
      </c>
      <c r="F6" s="25" t="s">
        <v>49</v>
      </c>
      <c r="G6" s="25" t="s">
        <v>49</v>
      </c>
      <c r="H6" s="25" t="s">
        <v>49</v>
      </c>
      <c r="I6" s="69" t="s">
        <v>49</v>
      </c>
      <c r="J6" s="47" t="s">
        <v>49</v>
      </c>
    </row>
    <row r="7" spans="1:10" x14ac:dyDescent="0.25">
      <c r="A7" s="60" t="s">
        <v>465</v>
      </c>
      <c r="B7" s="25" t="s">
        <v>466</v>
      </c>
      <c r="C7" s="25">
        <v>1</v>
      </c>
      <c r="D7" s="25"/>
      <c r="E7" s="25" t="s">
        <v>49</v>
      </c>
      <c r="F7" s="25" t="s">
        <v>49</v>
      </c>
      <c r="G7" s="25" t="s">
        <v>49</v>
      </c>
      <c r="H7" s="25" t="s">
        <v>49</v>
      </c>
      <c r="I7" s="69" t="s">
        <v>49</v>
      </c>
      <c r="J7" s="47" t="s">
        <v>49</v>
      </c>
    </row>
    <row r="8" spans="1:10" x14ac:dyDescent="0.25">
      <c r="A8" s="60" t="s">
        <v>52</v>
      </c>
      <c r="B8" s="25" t="s">
        <v>437</v>
      </c>
      <c r="C8" s="25">
        <v>1</v>
      </c>
      <c r="D8" s="25"/>
      <c r="E8" s="25"/>
      <c r="F8" s="25" t="s">
        <v>49</v>
      </c>
      <c r="G8" s="25" t="s">
        <v>49</v>
      </c>
      <c r="H8" s="25" t="s">
        <v>49</v>
      </c>
      <c r="I8" s="69" t="s">
        <v>49</v>
      </c>
      <c r="J8" s="47" t="s">
        <v>49</v>
      </c>
    </row>
    <row r="9" spans="1:10" x14ac:dyDescent="0.25">
      <c r="A9" s="60" t="s">
        <v>54</v>
      </c>
      <c r="B9" s="25" t="s">
        <v>438</v>
      </c>
      <c r="C9" s="25">
        <v>1</v>
      </c>
      <c r="D9" s="25"/>
      <c r="E9" s="25"/>
      <c r="F9" s="25"/>
      <c r="G9" s="25" t="s">
        <v>49</v>
      </c>
      <c r="H9" s="25" t="s">
        <v>49</v>
      </c>
      <c r="I9" s="69" t="s">
        <v>49</v>
      </c>
      <c r="J9" s="47" t="s">
        <v>49</v>
      </c>
    </row>
    <row r="10" spans="1:10" x14ac:dyDescent="0.25">
      <c r="A10" s="60" t="s">
        <v>378</v>
      </c>
      <c r="B10" s="107" t="s">
        <v>467</v>
      </c>
      <c r="C10" s="25">
        <v>1</v>
      </c>
      <c r="D10" s="25"/>
      <c r="E10" s="25"/>
      <c r="F10" s="25"/>
      <c r="G10" s="25" t="s">
        <v>49</v>
      </c>
      <c r="H10" s="25" t="s">
        <v>49</v>
      </c>
      <c r="I10" s="69" t="s">
        <v>49</v>
      </c>
      <c r="J10" s="47" t="s">
        <v>49</v>
      </c>
    </row>
    <row r="11" spans="1:10" x14ac:dyDescent="0.25">
      <c r="A11" s="60" t="s">
        <v>404</v>
      </c>
      <c r="B11" s="25" t="s">
        <v>405</v>
      </c>
      <c r="C11" s="25">
        <v>1</v>
      </c>
      <c r="D11" s="25"/>
      <c r="E11" s="25"/>
      <c r="F11" s="133" t="s">
        <v>49</v>
      </c>
      <c r="G11" s="25" t="s">
        <v>49</v>
      </c>
      <c r="H11" s="25" t="s">
        <v>49</v>
      </c>
      <c r="I11" s="69" t="s">
        <v>49</v>
      </c>
      <c r="J11" s="47" t="s">
        <v>49</v>
      </c>
    </row>
    <row r="12" spans="1:10" x14ac:dyDescent="0.25">
      <c r="A12" s="60" t="s">
        <v>380</v>
      </c>
      <c r="B12" s="25" t="s">
        <v>470</v>
      </c>
      <c r="C12" s="25">
        <v>1</v>
      </c>
      <c r="D12" s="25"/>
      <c r="E12" s="25"/>
      <c r="F12" s="133" t="s">
        <v>49</v>
      </c>
      <c r="G12" s="25" t="s">
        <v>49</v>
      </c>
      <c r="H12" s="25" t="s">
        <v>49</v>
      </c>
      <c r="I12" s="69" t="s">
        <v>49</v>
      </c>
      <c r="J12" s="47" t="s">
        <v>49</v>
      </c>
    </row>
    <row r="13" spans="1:10" x14ac:dyDescent="0.25">
      <c r="A13" s="60" t="s">
        <v>402</v>
      </c>
      <c r="B13" s="119" t="s">
        <v>403</v>
      </c>
      <c r="C13" s="25">
        <v>1</v>
      </c>
      <c r="D13" s="25"/>
      <c r="E13" s="25"/>
      <c r="F13" s="133" t="s">
        <v>49</v>
      </c>
      <c r="G13" s="25" t="s">
        <v>49</v>
      </c>
      <c r="H13" s="25" t="s">
        <v>49</v>
      </c>
      <c r="I13" s="69" t="s">
        <v>49</v>
      </c>
      <c r="J13" s="47" t="s">
        <v>49</v>
      </c>
    </row>
    <row r="14" spans="1:10" x14ac:dyDescent="0.25">
      <c r="A14" s="60" t="s">
        <v>382</v>
      </c>
      <c r="B14" s="25" t="s">
        <v>440</v>
      </c>
      <c r="C14" s="25">
        <v>1</v>
      </c>
      <c r="D14" s="25"/>
      <c r="E14" s="25"/>
      <c r="F14" s="25"/>
      <c r="G14" s="25"/>
      <c r="H14" s="25" t="s">
        <v>49</v>
      </c>
      <c r="I14" s="69" t="s">
        <v>49</v>
      </c>
      <c r="J14" s="47"/>
    </row>
    <row r="15" spans="1:10" x14ac:dyDescent="0.25">
      <c r="A15" s="60" t="s">
        <v>294</v>
      </c>
      <c r="B15" s="25" t="s">
        <v>411</v>
      </c>
      <c r="C15" s="25">
        <v>2</v>
      </c>
      <c r="D15" s="25"/>
      <c r="E15" s="25"/>
      <c r="F15" s="25" t="s">
        <v>49</v>
      </c>
      <c r="G15" s="25" t="s">
        <v>49</v>
      </c>
      <c r="H15" s="25" t="s">
        <v>49</v>
      </c>
      <c r="I15" s="69" t="s">
        <v>49</v>
      </c>
      <c r="J15" s="47" t="s">
        <v>49</v>
      </c>
    </row>
    <row r="16" spans="1:10" x14ac:dyDescent="0.25">
      <c r="A16" s="60" t="s">
        <v>412</v>
      </c>
      <c r="B16" s="25" t="s">
        <v>475</v>
      </c>
      <c r="C16" s="25">
        <v>1</v>
      </c>
      <c r="D16" s="25"/>
      <c r="E16" s="25"/>
      <c r="F16" s="25"/>
      <c r="G16" s="25"/>
      <c r="H16" s="25" t="s">
        <v>49</v>
      </c>
      <c r="I16" s="69" t="s">
        <v>49</v>
      </c>
      <c r="J16" s="47"/>
    </row>
    <row r="17" spans="1:10" x14ac:dyDescent="0.25">
      <c r="A17" s="10" t="s">
        <v>414</v>
      </c>
      <c r="B17" s="34" t="s">
        <v>442</v>
      </c>
      <c r="C17" s="34">
        <v>1</v>
      </c>
      <c r="D17" s="14"/>
      <c r="E17" s="14"/>
      <c r="F17" s="14"/>
      <c r="G17" s="14"/>
      <c r="H17" s="14"/>
      <c r="I17" s="11"/>
      <c r="J17" s="4" t="s">
        <v>49</v>
      </c>
    </row>
    <row r="18" spans="1:10" x14ac:dyDescent="0.25">
      <c r="A18" s="10" t="s">
        <v>152</v>
      </c>
      <c r="B18" s="34" t="s">
        <v>476</v>
      </c>
      <c r="C18" s="14">
        <v>1</v>
      </c>
      <c r="D18" s="14"/>
      <c r="E18" s="14"/>
      <c r="F18" s="14"/>
      <c r="G18" s="14"/>
      <c r="H18" s="14"/>
      <c r="I18" s="11"/>
      <c r="J18" s="4" t="s">
        <v>49</v>
      </c>
    </row>
    <row r="19" spans="1:10" x14ac:dyDescent="0.25">
      <c r="A19" s="248" t="s">
        <v>444</v>
      </c>
      <c r="B19" s="14" t="s">
        <v>445</v>
      </c>
      <c r="C19" s="14">
        <v>1</v>
      </c>
      <c r="D19" s="14"/>
      <c r="E19" s="14"/>
      <c r="F19" s="14"/>
      <c r="G19" s="14"/>
      <c r="H19" s="14"/>
      <c r="I19" s="11" t="s">
        <v>49</v>
      </c>
      <c r="J19" s="4"/>
    </row>
    <row r="20" spans="1:10" x14ac:dyDescent="0.25">
      <c r="A20" s="249"/>
      <c r="B20" s="14" t="s">
        <v>446</v>
      </c>
      <c r="C20" s="14">
        <v>1</v>
      </c>
      <c r="D20" s="14"/>
      <c r="E20" s="14"/>
      <c r="F20" s="14"/>
      <c r="G20" s="14"/>
      <c r="H20" s="14"/>
      <c r="I20" s="11" t="s">
        <v>49</v>
      </c>
      <c r="J20" s="4"/>
    </row>
    <row r="21" spans="1:10" x14ac:dyDescent="0.25">
      <c r="A21" s="249"/>
      <c r="B21" s="14" t="s">
        <v>447</v>
      </c>
      <c r="C21" s="14">
        <v>2</v>
      </c>
      <c r="D21" s="14"/>
      <c r="E21" s="14"/>
      <c r="F21" s="14"/>
      <c r="G21" s="14"/>
      <c r="H21" s="14"/>
      <c r="I21" s="11" t="s">
        <v>49</v>
      </c>
      <c r="J21" s="4"/>
    </row>
    <row r="22" spans="1:10" x14ac:dyDescent="0.25">
      <c r="A22" s="250"/>
      <c r="B22" s="14" t="s">
        <v>448</v>
      </c>
      <c r="C22" s="14">
        <v>2</v>
      </c>
      <c r="D22" s="14"/>
      <c r="E22" s="14"/>
      <c r="F22" s="14"/>
      <c r="G22" s="14"/>
      <c r="H22" s="14"/>
      <c r="I22" s="11" t="s">
        <v>49</v>
      </c>
      <c r="J22" s="4"/>
    </row>
    <row r="23" spans="1:10" x14ac:dyDescent="0.25">
      <c r="A23" s="10" t="s">
        <v>449</v>
      </c>
      <c r="B23" s="14" t="s">
        <v>450</v>
      </c>
      <c r="C23" s="14">
        <v>4</v>
      </c>
      <c r="D23" s="14"/>
      <c r="E23" s="14"/>
      <c r="F23" s="14"/>
      <c r="G23" s="14"/>
      <c r="H23" s="14"/>
      <c r="I23" s="11" t="s">
        <v>49</v>
      </c>
      <c r="J23" s="4"/>
    </row>
    <row r="24" spans="1:10" x14ac:dyDescent="0.25">
      <c r="A24" s="10" t="s">
        <v>451</v>
      </c>
      <c r="B24" s="14" t="s">
        <v>452</v>
      </c>
      <c r="C24" s="14">
        <v>2</v>
      </c>
      <c r="D24" s="14"/>
      <c r="E24" s="14"/>
      <c r="F24" s="14"/>
      <c r="G24" s="14"/>
      <c r="H24" s="14"/>
      <c r="I24" s="11" t="s">
        <v>49</v>
      </c>
      <c r="J24" s="4"/>
    </row>
    <row r="25" spans="1:10" x14ac:dyDescent="0.25">
      <c r="A25" s="248" t="s">
        <v>316</v>
      </c>
      <c r="B25" s="14" t="s">
        <v>453</v>
      </c>
      <c r="C25" s="14">
        <v>1</v>
      </c>
      <c r="D25" s="14"/>
      <c r="E25" s="14"/>
      <c r="F25" s="14"/>
      <c r="G25" s="14"/>
      <c r="H25" s="14"/>
      <c r="I25" s="11" t="s">
        <v>49</v>
      </c>
      <c r="J25" s="4"/>
    </row>
    <row r="26" spans="1:10" x14ac:dyDescent="0.25">
      <c r="A26" s="249"/>
      <c r="B26" s="14" t="s">
        <v>454</v>
      </c>
      <c r="C26" s="14">
        <v>1</v>
      </c>
      <c r="D26" s="14"/>
      <c r="E26" s="14"/>
      <c r="F26" s="14"/>
      <c r="G26" s="14"/>
      <c r="H26" s="14"/>
      <c r="I26" s="11" t="s">
        <v>49</v>
      </c>
      <c r="J26" s="4"/>
    </row>
    <row r="27" spans="1:10" x14ac:dyDescent="0.25">
      <c r="A27" s="250"/>
      <c r="B27" s="14" t="s">
        <v>455</v>
      </c>
      <c r="C27" s="14">
        <v>1</v>
      </c>
      <c r="D27" s="14"/>
      <c r="E27" s="14"/>
      <c r="F27" s="14"/>
      <c r="G27" s="14"/>
      <c r="H27" s="14"/>
      <c r="I27" s="11" t="s">
        <v>49</v>
      </c>
      <c r="J27" s="4"/>
    </row>
    <row r="28" spans="1:10" ht="47.25" x14ac:dyDescent="0.25">
      <c r="A28" s="57" t="s">
        <v>67</v>
      </c>
      <c r="B28" s="183" t="s">
        <v>417</v>
      </c>
      <c r="C28" s="21">
        <v>200</v>
      </c>
      <c r="D28" s="21" t="s">
        <v>66</v>
      </c>
      <c r="E28" s="21"/>
      <c r="F28" s="21"/>
      <c r="G28" s="21"/>
      <c r="H28" s="39" t="s">
        <v>49</v>
      </c>
      <c r="I28" s="39" t="s">
        <v>49</v>
      </c>
      <c r="J28" s="21"/>
    </row>
    <row r="29" spans="1:10" x14ac:dyDescent="0.25">
      <c r="A29" s="33" t="s">
        <v>64</v>
      </c>
      <c r="B29" s="24" t="s">
        <v>65</v>
      </c>
      <c r="C29" s="24" t="s">
        <v>456</v>
      </c>
      <c r="D29" s="24" t="s">
        <v>66</v>
      </c>
      <c r="E29" s="24" t="s">
        <v>49</v>
      </c>
      <c r="F29" s="24" t="s">
        <v>49</v>
      </c>
      <c r="G29" s="24" t="s">
        <v>49</v>
      </c>
      <c r="H29" s="24" t="s">
        <v>49</v>
      </c>
      <c r="I29" s="35" t="s">
        <v>49</v>
      </c>
      <c r="J29" s="32" t="s">
        <v>49</v>
      </c>
    </row>
    <row r="30" spans="1:10" x14ac:dyDescent="0.25">
      <c r="A30" s="60" t="s">
        <v>388</v>
      </c>
      <c r="B30" s="26" t="s">
        <v>249</v>
      </c>
      <c r="C30" s="25" t="s">
        <v>419</v>
      </c>
      <c r="D30" s="25" t="s">
        <v>66</v>
      </c>
      <c r="E30" s="104"/>
      <c r="F30" s="104" t="s">
        <v>49</v>
      </c>
      <c r="G30" s="25" t="s">
        <v>49</v>
      </c>
      <c r="H30" s="25" t="s">
        <v>49</v>
      </c>
      <c r="I30" s="69" t="s">
        <v>49</v>
      </c>
      <c r="J30" s="47" t="s">
        <v>49</v>
      </c>
    </row>
    <row r="31" spans="1:10" x14ac:dyDescent="0.25">
      <c r="A31" s="60" t="s">
        <v>390</v>
      </c>
      <c r="B31" s="26" t="s">
        <v>249</v>
      </c>
      <c r="C31" s="26" t="s">
        <v>457</v>
      </c>
      <c r="D31" s="26" t="s">
        <v>66</v>
      </c>
      <c r="E31" s="104"/>
      <c r="F31" s="104" t="s">
        <v>49</v>
      </c>
      <c r="G31" s="25" t="s">
        <v>49</v>
      </c>
      <c r="H31" s="25" t="s">
        <v>49</v>
      </c>
      <c r="I31" s="69" t="s">
        <v>49</v>
      </c>
      <c r="J31" s="47" t="s">
        <v>49</v>
      </c>
    </row>
    <row r="32" spans="1:10" x14ac:dyDescent="0.25">
      <c r="A32" s="58" t="s">
        <v>75</v>
      </c>
      <c r="B32" s="45">
        <v>5000072</v>
      </c>
      <c r="C32" s="45" t="s">
        <v>458</v>
      </c>
      <c r="D32" s="45" t="s">
        <v>66</v>
      </c>
      <c r="E32" s="45"/>
      <c r="F32" s="45"/>
      <c r="G32" s="45"/>
      <c r="H32" s="45" t="s">
        <v>49</v>
      </c>
      <c r="I32" s="71" t="s">
        <v>49</v>
      </c>
      <c r="J32" s="54"/>
    </row>
    <row r="33" spans="1:10" ht="16.5" thickBot="1" x14ac:dyDescent="0.3">
      <c r="A33" s="30" t="s">
        <v>259</v>
      </c>
      <c r="B33" s="5" t="s">
        <v>70</v>
      </c>
      <c r="C33" s="5" t="s">
        <v>392</v>
      </c>
      <c r="D33" s="5" t="s">
        <v>71</v>
      </c>
      <c r="E33" s="5" t="s">
        <v>49</v>
      </c>
      <c r="F33" s="5" t="s">
        <v>49</v>
      </c>
      <c r="G33" s="5" t="s">
        <v>49</v>
      </c>
      <c r="H33" s="5" t="s">
        <v>49</v>
      </c>
      <c r="I33" s="68" t="s">
        <v>49</v>
      </c>
      <c r="J33" s="6" t="s">
        <v>49</v>
      </c>
    </row>
  </sheetData>
  <mergeCells count="8">
    <mergeCell ref="A19:A22"/>
    <mergeCell ref="A25:A27"/>
    <mergeCell ref="A1:J1"/>
    <mergeCell ref="A2:A3"/>
    <mergeCell ref="B2:B3"/>
    <mergeCell ref="C2:C3"/>
    <mergeCell ref="D2:D3"/>
    <mergeCell ref="E2:J2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5816-CB40-462F-9367-E8D1749FB2C5}">
  <dimension ref="D2:AB47"/>
  <sheetViews>
    <sheetView workbookViewId="0">
      <selection activeCell="A19" sqref="A19"/>
    </sheetView>
  </sheetViews>
  <sheetFormatPr defaultColWidth="11" defaultRowHeight="15.75" x14ac:dyDescent="0.25"/>
  <cols>
    <col min="4" max="5" width="43.625" customWidth="1"/>
    <col min="7" max="7" width="27.875" bestFit="1" customWidth="1"/>
    <col min="10" max="10" width="18.875" bestFit="1" customWidth="1"/>
    <col min="11" max="11" width="16.875" bestFit="1" customWidth="1"/>
    <col min="17" max="17" width="33.125" bestFit="1" customWidth="1"/>
    <col min="23" max="23" width="17" bestFit="1" customWidth="1"/>
    <col min="27" max="27" width="27" bestFit="1" customWidth="1"/>
  </cols>
  <sheetData>
    <row r="2" spans="4:28" ht="31.5" x14ac:dyDescent="0.5">
      <c r="D2" s="265" t="s">
        <v>642</v>
      </c>
      <c r="E2" s="265"/>
      <c r="F2" s="265"/>
      <c r="G2" s="265"/>
      <c r="H2" s="265"/>
      <c r="I2" s="265"/>
      <c r="J2" s="265"/>
      <c r="K2" s="265"/>
      <c r="L2" s="202"/>
      <c r="M2" s="202"/>
      <c r="N2" s="202"/>
    </row>
    <row r="3" spans="4:28" ht="16.149999999999999" customHeight="1" x14ac:dyDescent="0.25">
      <c r="D3" s="237" t="s">
        <v>643</v>
      </c>
      <c r="E3" s="123"/>
      <c r="F3" s="235" t="s">
        <v>644</v>
      </c>
      <c r="G3" s="237" t="s">
        <v>645</v>
      </c>
      <c r="H3" s="237" t="s">
        <v>646</v>
      </c>
      <c r="I3" s="203"/>
      <c r="J3" s="203"/>
      <c r="K3" s="203"/>
      <c r="L3" s="18"/>
      <c r="M3" s="18"/>
      <c r="N3" s="18"/>
    </row>
    <row r="4" spans="4:28" ht="43.15" customHeight="1" x14ac:dyDescent="0.25">
      <c r="D4" s="237"/>
      <c r="E4" s="123" t="s">
        <v>647</v>
      </c>
      <c r="F4" s="235"/>
      <c r="G4" s="237"/>
      <c r="H4" s="237"/>
      <c r="I4" s="14" t="s">
        <v>648</v>
      </c>
      <c r="J4" s="14" t="s">
        <v>649</v>
      </c>
      <c r="K4" s="203" t="s">
        <v>650</v>
      </c>
      <c r="L4" s="18"/>
      <c r="M4" s="18"/>
      <c r="N4" s="18"/>
    </row>
    <row r="5" spans="4:28" x14ac:dyDescent="0.25">
      <c r="D5" s="115" t="s">
        <v>651</v>
      </c>
      <c r="E5" s="115"/>
      <c r="F5" s="201" t="s">
        <v>600</v>
      </c>
      <c r="G5" s="201"/>
      <c r="H5" s="201"/>
      <c r="I5" s="201"/>
      <c r="J5" s="201"/>
      <c r="K5" s="201">
        <v>7</v>
      </c>
    </row>
    <row r="6" spans="4:28" x14ac:dyDescent="0.25">
      <c r="D6" s="114" t="s">
        <v>652</v>
      </c>
      <c r="E6" s="114"/>
      <c r="F6" s="2"/>
      <c r="G6" s="2" t="s">
        <v>600</v>
      </c>
      <c r="H6" s="2"/>
      <c r="I6" s="2" t="s">
        <v>600</v>
      </c>
      <c r="J6" s="2"/>
      <c r="K6" s="2">
        <v>8</v>
      </c>
      <c r="L6" t="s">
        <v>653</v>
      </c>
      <c r="M6" t="s">
        <v>654</v>
      </c>
    </row>
    <row r="7" spans="4:28" x14ac:dyDescent="0.25">
      <c r="D7" s="114" t="s">
        <v>655</v>
      </c>
      <c r="E7" s="114"/>
      <c r="F7" s="2" t="s">
        <v>600</v>
      </c>
      <c r="G7" s="2"/>
      <c r="H7" s="2"/>
      <c r="I7" s="2"/>
      <c r="J7" s="2"/>
      <c r="K7" s="2">
        <v>8</v>
      </c>
      <c r="W7" t="s">
        <v>656</v>
      </c>
      <c r="X7" t="s">
        <v>657</v>
      </c>
      <c r="Y7" t="s">
        <v>658</v>
      </c>
      <c r="Z7" t="s">
        <v>659</v>
      </c>
      <c r="AA7" t="s">
        <v>660</v>
      </c>
      <c r="AB7" t="s">
        <v>661</v>
      </c>
    </row>
    <row r="8" spans="4:28" x14ac:dyDescent="0.25">
      <c r="D8" s="114" t="s">
        <v>662</v>
      </c>
      <c r="E8" s="114"/>
      <c r="F8" s="2"/>
      <c r="G8" s="2"/>
      <c r="H8" s="2" t="s">
        <v>663</v>
      </c>
      <c r="I8" s="2"/>
      <c r="J8" s="2"/>
      <c r="K8" s="2">
        <v>9</v>
      </c>
      <c r="W8" t="s">
        <v>664</v>
      </c>
      <c r="X8">
        <v>0</v>
      </c>
      <c r="Y8">
        <v>1</v>
      </c>
      <c r="Z8">
        <v>77554111</v>
      </c>
      <c r="AA8" t="s">
        <v>665</v>
      </c>
      <c r="AB8">
        <v>1</v>
      </c>
    </row>
    <row r="9" spans="4:28" x14ac:dyDescent="0.25">
      <c r="D9" s="114" t="s">
        <v>666</v>
      </c>
      <c r="E9" s="114" t="s">
        <v>667</v>
      </c>
      <c r="F9" s="2"/>
      <c r="G9" s="2"/>
      <c r="H9" s="2"/>
      <c r="I9" s="2"/>
      <c r="J9" s="2" t="s">
        <v>663</v>
      </c>
      <c r="K9" s="2">
        <v>9</v>
      </c>
      <c r="Q9" t="s">
        <v>668</v>
      </c>
      <c r="R9" t="s">
        <v>669</v>
      </c>
      <c r="S9" t="s">
        <v>670</v>
      </c>
      <c r="T9" t="s">
        <v>671</v>
      </c>
      <c r="W9" t="s">
        <v>664</v>
      </c>
      <c r="X9">
        <v>1</v>
      </c>
      <c r="Y9">
        <v>1</v>
      </c>
      <c r="Z9">
        <v>5727224</v>
      </c>
      <c r="AA9" t="s">
        <v>672</v>
      </c>
      <c r="AB9">
        <v>1</v>
      </c>
    </row>
    <row r="10" spans="4:28" x14ac:dyDescent="0.25">
      <c r="D10" s="114" t="s">
        <v>673</v>
      </c>
      <c r="E10" s="114"/>
      <c r="F10" s="2"/>
      <c r="G10" s="2"/>
      <c r="H10" s="2"/>
      <c r="I10" s="2" t="s">
        <v>600</v>
      </c>
      <c r="J10" s="2"/>
      <c r="K10" s="2" t="s">
        <v>674</v>
      </c>
      <c r="Q10" t="s">
        <v>675</v>
      </c>
      <c r="R10">
        <v>5121077</v>
      </c>
      <c r="S10" t="s">
        <v>676</v>
      </c>
      <c r="W10" t="s">
        <v>664</v>
      </c>
      <c r="X10">
        <v>2</v>
      </c>
      <c r="Y10">
        <v>1</v>
      </c>
      <c r="Z10">
        <v>5747129</v>
      </c>
      <c r="AA10" t="s">
        <v>677</v>
      </c>
      <c r="AB10">
        <v>1</v>
      </c>
    </row>
    <row r="11" spans="4:28" x14ac:dyDescent="0.25">
      <c r="D11" s="114" t="s">
        <v>678</v>
      </c>
      <c r="E11" s="114"/>
      <c r="F11" s="2"/>
      <c r="G11" s="2"/>
      <c r="H11" s="2"/>
      <c r="I11" s="2"/>
      <c r="J11" s="2" t="s">
        <v>600</v>
      </c>
      <c r="K11" s="2" t="s">
        <v>674</v>
      </c>
      <c r="Q11" t="s">
        <v>672</v>
      </c>
      <c r="R11">
        <v>5727224</v>
      </c>
      <c r="S11" t="s">
        <v>679</v>
      </c>
      <c r="W11" t="s">
        <v>664</v>
      </c>
      <c r="X11">
        <v>3</v>
      </c>
      <c r="Y11">
        <v>1</v>
      </c>
      <c r="Z11">
        <v>5748175</v>
      </c>
      <c r="AA11" t="s">
        <v>680</v>
      </c>
      <c r="AB11">
        <v>1</v>
      </c>
    </row>
    <row r="12" spans="4:28" x14ac:dyDescent="0.25">
      <c r="D12" s="114" t="s">
        <v>681</v>
      </c>
      <c r="E12" s="204"/>
      <c r="F12" s="266" t="s">
        <v>682</v>
      </c>
      <c r="G12" s="267"/>
      <c r="H12" s="267"/>
      <c r="I12" s="267"/>
      <c r="J12" s="267"/>
      <c r="K12" s="268"/>
      <c r="Q12" t="s">
        <v>677</v>
      </c>
      <c r="R12">
        <v>5747129</v>
      </c>
      <c r="S12" t="s">
        <v>679</v>
      </c>
      <c r="W12" t="s">
        <v>664</v>
      </c>
      <c r="X12">
        <v>4</v>
      </c>
      <c r="Y12">
        <v>1</v>
      </c>
      <c r="Z12">
        <v>5748269</v>
      </c>
      <c r="AA12" t="s">
        <v>683</v>
      </c>
      <c r="AB12">
        <v>1</v>
      </c>
    </row>
    <row r="13" spans="4:28" x14ac:dyDescent="0.25">
      <c r="D13" s="114" t="s">
        <v>684</v>
      </c>
      <c r="E13" s="114"/>
      <c r="F13" s="2"/>
      <c r="G13" s="2"/>
      <c r="H13" s="2"/>
      <c r="I13" s="2" t="s">
        <v>685</v>
      </c>
      <c r="J13" s="2"/>
      <c r="K13" s="2" t="s">
        <v>674</v>
      </c>
      <c r="Q13" t="s">
        <v>686</v>
      </c>
      <c r="R13">
        <v>5747736</v>
      </c>
      <c r="S13" t="s">
        <v>687</v>
      </c>
      <c r="W13" t="s">
        <v>688</v>
      </c>
      <c r="X13">
        <v>5</v>
      </c>
      <c r="Y13">
        <v>1</v>
      </c>
      <c r="Z13">
        <v>5748546</v>
      </c>
      <c r="AA13" t="s">
        <v>689</v>
      </c>
      <c r="AB13">
        <v>1</v>
      </c>
    </row>
    <row r="14" spans="4:28" x14ac:dyDescent="0.25">
      <c r="D14" s="114" t="s">
        <v>690</v>
      </c>
      <c r="E14" s="114"/>
      <c r="F14" s="2"/>
      <c r="G14" s="2"/>
      <c r="H14" s="2"/>
      <c r="I14" s="2"/>
      <c r="J14" s="2" t="s">
        <v>691</v>
      </c>
      <c r="K14" s="2" t="s">
        <v>674</v>
      </c>
      <c r="Q14" t="s">
        <v>680</v>
      </c>
      <c r="R14">
        <v>5748175</v>
      </c>
      <c r="S14" t="s">
        <v>679</v>
      </c>
      <c r="X14">
        <v>6</v>
      </c>
      <c r="Y14">
        <v>1</v>
      </c>
      <c r="Z14">
        <v>7611010</v>
      </c>
      <c r="AA14" t="s">
        <v>692</v>
      </c>
      <c r="AB14">
        <v>1</v>
      </c>
    </row>
    <row r="15" spans="4:28" x14ac:dyDescent="0.25">
      <c r="D15" s="114" t="s">
        <v>693</v>
      </c>
      <c r="E15" s="114"/>
      <c r="F15" s="2"/>
      <c r="G15" s="2"/>
      <c r="H15" s="2"/>
      <c r="I15" s="2"/>
      <c r="J15" s="2" t="s">
        <v>691</v>
      </c>
      <c r="K15" s="2" t="s">
        <v>674</v>
      </c>
      <c r="Q15" t="s">
        <v>694</v>
      </c>
      <c r="R15">
        <v>5748180</v>
      </c>
      <c r="S15" t="s">
        <v>695</v>
      </c>
      <c r="W15" t="s">
        <v>664</v>
      </c>
      <c r="X15">
        <v>7</v>
      </c>
      <c r="Y15">
        <v>1</v>
      </c>
      <c r="Z15">
        <v>9331746</v>
      </c>
      <c r="AA15" t="s">
        <v>696</v>
      </c>
      <c r="AB15">
        <v>1</v>
      </c>
    </row>
    <row r="16" spans="4:28" x14ac:dyDescent="0.25">
      <c r="D16" s="114" t="s">
        <v>697</v>
      </c>
      <c r="E16" s="204"/>
      <c r="F16" s="266" t="s">
        <v>698</v>
      </c>
      <c r="G16" s="267"/>
      <c r="H16" s="267"/>
      <c r="I16" s="267"/>
      <c r="J16" s="267"/>
      <c r="K16" s="268"/>
      <c r="Q16" t="s">
        <v>699</v>
      </c>
      <c r="R16">
        <v>5748221</v>
      </c>
      <c r="S16" t="s">
        <v>687</v>
      </c>
      <c r="X16">
        <v>8</v>
      </c>
      <c r="Y16">
        <v>1</v>
      </c>
      <c r="Z16">
        <v>5824228</v>
      </c>
      <c r="AA16" t="s">
        <v>700</v>
      </c>
      <c r="AB16">
        <v>1</v>
      </c>
    </row>
    <row r="17" spans="4:28" x14ac:dyDescent="0.25">
      <c r="D17" s="114" t="s">
        <v>701</v>
      </c>
      <c r="E17" s="114"/>
      <c r="F17" s="2"/>
      <c r="G17" s="2"/>
      <c r="H17" s="2" t="s">
        <v>702</v>
      </c>
      <c r="I17" s="2"/>
      <c r="J17" s="2"/>
      <c r="K17" s="2" t="s">
        <v>703</v>
      </c>
      <c r="Q17" t="s">
        <v>683</v>
      </c>
      <c r="R17">
        <v>5748269</v>
      </c>
      <c r="S17" t="s">
        <v>679</v>
      </c>
      <c r="W17" t="s">
        <v>688</v>
      </c>
      <c r="X17">
        <v>9</v>
      </c>
      <c r="Y17">
        <v>1</v>
      </c>
      <c r="Z17">
        <v>54240250</v>
      </c>
      <c r="AA17" t="s">
        <v>704</v>
      </c>
      <c r="AB17">
        <v>1</v>
      </c>
    </row>
    <row r="18" spans="4:28" x14ac:dyDescent="0.25">
      <c r="D18" s="114" t="s">
        <v>705</v>
      </c>
      <c r="E18" s="204"/>
      <c r="F18" s="266" t="s">
        <v>706</v>
      </c>
      <c r="G18" s="267"/>
      <c r="H18" s="267"/>
      <c r="I18" s="267"/>
      <c r="J18" s="267"/>
      <c r="K18" s="268"/>
      <c r="Q18" t="s">
        <v>707</v>
      </c>
      <c r="R18">
        <v>5748319</v>
      </c>
      <c r="S18" t="s">
        <v>708</v>
      </c>
      <c r="W18" t="s">
        <v>664</v>
      </c>
      <c r="X18">
        <v>10</v>
      </c>
      <c r="Y18">
        <v>1</v>
      </c>
      <c r="Z18">
        <v>9331128</v>
      </c>
      <c r="AA18" t="s">
        <v>696</v>
      </c>
      <c r="AB18">
        <v>1</v>
      </c>
    </row>
    <row r="19" spans="4:28" x14ac:dyDescent="0.25">
      <c r="F19" s="1"/>
      <c r="G19" s="1"/>
      <c r="H19" s="1"/>
      <c r="I19" s="1"/>
      <c r="J19" s="1"/>
      <c r="K19" s="1"/>
    </row>
    <row r="20" spans="4:28" x14ac:dyDescent="0.25">
      <c r="F20" s="1"/>
      <c r="G20" s="1"/>
      <c r="H20" s="1"/>
      <c r="I20" s="1"/>
      <c r="J20" s="1"/>
      <c r="K20" s="1"/>
    </row>
    <row r="21" spans="4:28" x14ac:dyDescent="0.25">
      <c r="F21" s="1"/>
      <c r="G21" s="1"/>
      <c r="H21" s="1"/>
      <c r="I21" s="1"/>
      <c r="J21" s="1"/>
      <c r="K21" s="1"/>
    </row>
    <row r="22" spans="4:28" x14ac:dyDescent="0.25">
      <c r="Q22" t="s">
        <v>709</v>
      </c>
      <c r="R22">
        <v>5748535</v>
      </c>
      <c r="S22" t="s">
        <v>710</v>
      </c>
    </row>
    <row r="23" spans="4:28" x14ac:dyDescent="0.25">
      <c r="D23" t="s">
        <v>711</v>
      </c>
      <c r="Q23" t="s">
        <v>712</v>
      </c>
      <c r="R23">
        <v>5748603</v>
      </c>
      <c r="S23" t="s">
        <v>713</v>
      </c>
    </row>
    <row r="24" spans="4:28" x14ac:dyDescent="0.25">
      <c r="D24" t="s">
        <v>714</v>
      </c>
      <c r="Q24" t="s">
        <v>715</v>
      </c>
      <c r="R24">
        <v>5749135</v>
      </c>
      <c r="S24" t="s">
        <v>716</v>
      </c>
    </row>
    <row r="25" spans="4:28" x14ac:dyDescent="0.25">
      <c r="D25" t="s">
        <v>717</v>
      </c>
      <c r="Q25" t="s">
        <v>715</v>
      </c>
      <c r="R25">
        <v>5749136</v>
      </c>
      <c r="S25" t="s">
        <v>716</v>
      </c>
    </row>
    <row r="26" spans="4:28" x14ac:dyDescent="0.25">
      <c r="D26" t="s">
        <v>718</v>
      </c>
      <c r="Q26" t="s">
        <v>719</v>
      </c>
      <c r="R26">
        <v>5749208</v>
      </c>
      <c r="S26" t="s">
        <v>720</v>
      </c>
    </row>
    <row r="27" spans="4:28" x14ac:dyDescent="0.25">
      <c r="D27" t="s">
        <v>721</v>
      </c>
      <c r="Q27" t="s">
        <v>722</v>
      </c>
      <c r="R27">
        <v>5904718</v>
      </c>
      <c r="S27" t="s">
        <v>723</v>
      </c>
    </row>
    <row r="28" spans="4:28" x14ac:dyDescent="0.25">
      <c r="Q28" t="s">
        <v>724</v>
      </c>
      <c r="R28">
        <v>6180320</v>
      </c>
      <c r="S28" t="s">
        <v>725</v>
      </c>
    </row>
    <row r="29" spans="4:28" x14ac:dyDescent="0.25">
      <c r="D29" t="s">
        <v>726</v>
      </c>
      <c r="Q29" t="s">
        <v>696</v>
      </c>
      <c r="R29">
        <v>9331128</v>
      </c>
      <c r="S29" t="s">
        <v>679</v>
      </c>
    </row>
    <row r="30" spans="4:28" x14ac:dyDescent="0.25">
      <c r="Q30" t="s">
        <v>696</v>
      </c>
      <c r="R30">
        <v>9331746</v>
      </c>
      <c r="S30" t="s">
        <v>679</v>
      </c>
    </row>
    <row r="31" spans="4:28" x14ac:dyDescent="0.25">
      <c r="Q31" t="s">
        <v>727</v>
      </c>
      <c r="R31">
        <v>54003046</v>
      </c>
      <c r="S31" t="s">
        <v>728</v>
      </c>
    </row>
    <row r="32" spans="4:28" x14ac:dyDescent="0.25">
      <c r="Q32" t="s">
        <v>727</v>
      </c>
      <c r="R32">
        <v>54003048</v>
      </c>
      <c r="S32" t="s">
        <v>729</v>
      </c>
    </row>
    <row r="33" spans="17:19" x14ac:dyDescent="0.25">
      <c r="Q33" t="s">
        <v>727</v>
      </c>
      <c r="R33">
        <v>54003087</v>
      </c>
      <c r="S33" t="s">
        <v>730</v>
      </c>
    </row>
    <row r="34" spans="17:19" x14ac:dyDescent="0.25">
      <c r="Q34" t="s">
        <v>731</v>
      </c>
      <c r="R34">
        <v>54003089</v>
      </c>
      <c r="S34" t="s">
        <v>730</v>
      </c>
    </row>
    <row r="35" spans="17:19" x14ac:dyDescent="0.25">
      <c r="Q35" t="s">
        <v>727</v>
      </c>
      <c r="R35">
        <v>54003106</v>
      </c>
      <c r="S35" t="s">
        <v>732</v>
      </c>
    </row>
    <row r="36" spans="17:19" x14ac:dyDescent="0.25">
      <c r="Q36" t="s">
        <v>731</v>
      </c>
      <c r="R36">
        <v>54200107</v>
      </c>
      <c r="S36" t="s">
        <v>728</v>
      </c>
    </row>
    <row r="37" spans="17:19" x14ac:dyDescent="0.25">
      <c r="Q37" t="s">
        <v>731</v>
      </c>
      <c r="R37">
        <v>54200108</v>
      </c>
      <c r="S37" t="s">
        <v>733</v>
      </c>
    </row>
    <row r="38" spans="17:19" x14ac:dyDescent="0.25">
      <c r="Q38" t="s">
        <v>734</v>
      </c>
      <c r="R38">
        <v>54203048</v>
      </c>
      <c r="S38" t="s">
        <v>735</v>
      </c>
    </row>
    <row r="39" spans="17:19" x14ac:dyDescent="0.25">
      <c r="Q39" t="s">
        <v>734</v>
      </c>
      <c r="R39">
        <v>54203049</v>
      </c>
      <c r="S39" t="s">
        <v>736</v>
      </c>
    </row>
    <row r="40" spans="17:19" x14ac:dyDescent="0.25">
      <c r="Q40" t="s">
        <v>734</v>
      </c>
      <c r="R40">
        <v>54203050</v>
      </c>
      <c r="S40" t="s">
        <v>737</v>
      </c>
    </row>
    <row r="41" spans="17:19" x14ac:dyDescent="0.25">
      <c r="Q41" t="s">
        <v>734</v>
      </c>
      <c r="R41">
        <v>54203053</v>
      </c>
      <c r="S41" t="s">
        <v>738</v>
      </c>
    </row>
    <row r="42" spans="17:19" x14ac:dyDescent="0.25">
      <c r="Q42" t="s">
        <v>739</v>
      </c>
      <c r="R42">
        <v>54270114</v>
      </c>
      <c r="S42" t="s">
        <v>725</v>
      </c>
    </row>
    <row r="43" spans="17:19" x14ac:dyDescent="0.25">
      <c r="Q43" t="s">
        <v>722</v>
      </c>
      <c r="R43">
        <v>5904718</v>
      </c>
      <c r="S43" t="s">
        <v>740</v>
      </c>
    </row>
    <row r="44" spans="17:19" x14ac:dyDescent="0.25">
      <c r="Q44" t="s">
        <v>696</v>
      </c>
      <c r="R44">
        <v>9331746</v>
      </c>
      <c r="S44" t="s">
        <v>741</v>
      </c>
    </row>
    <row r="45" spans="17:19" x14ac:dyDescent="0.25">
      <c r="Q45" t="s">
        <v>727</v>
      </c>
      <c r="R45">
        <v>54003048</v>
      </c>
      <c r="S45" t="s">
        <v>729</v>
      </c>
    </row>
    <row r="46" spans="17:19" x14ac:dyDescent="0.25">
      <c r="Q46" t="s">
        <v>731</v>
      </c>
      <c r="R46">
        <v>54003089</v>
      </c>
      <c r="S46" t="s">
        <v>732</v>
      </c>
    </row>
    <row r="47" spans="17:19" x14ac:dyDescent="0.25">
      <c r="Q47" t="s">
        <v>731</v>
      </c>
      <c r="R47">
        <v>54200107</v>
      </c>
      <c r="S47" t="s">
        <v>742</v>
      </c>
    </row>
  </sheetData>
  <mergeCells count="8">
    <mergeCell ref="D2:K2"/>
    <mergeCell ref="F12:K12"/>
    <mergeCell ref="F16:K16"/>
    <mergeCell ref="F18:K18"/>
    <mergeCell ref="D3:D4"/>
    <mergeCell ref="F3:F4"/>
    <mergeCell ref="G3:G4"/>
    <mergeCell ref="H3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6733cd-131e-4e68-b206-67b15c739e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13EE7D5E0AC441814350A469584345" ma:contentTypeVersion="9" ma:contentTypeDescription="Crear nuevo documento." ma:contentTypeScope="" ma:versionID="2fdcf75df7881fa72c1e3dd111863d51">
  <xsd:schema xmlns:xsd="http://www.w3.org/2001/XMLSchema" xmlns:xs="http://www.w3.org/2001/XMLSchema" xmlns:p="http://schemas.microsoft.com/office/2006/metadata/properties" xmlns:ns3="086733cd-131e-4e68-b206-67b15c739e61" targetNamespace="http://schemas.microsoft.com/office/2006/metadata/properties" ma:root="true" ma:fieldsID="92f73bd60531e8b5fc9a52594274393f" ns3:_="">
    <xsd:import namespace="086733cd-131e-4e68-b206-67b15c739e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33cd-131e-4e68-b206-67b15c739e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B17DF-4E02-482B-9461-83AD6EBCD298}">
  <ds:schemaRefs>
    <ds:schemaRef ds:uri="http://schemas.microsoft.com/office/2006/metadata/properties"/>
    <ds:schemaRef ds:uri="http://schemas.microsoft.com/office/infopath/2007/PartnerControls"/>
    <ds:schemaRef ds:uri="086733cd-131e-4e68-b206-67b15c739e61"/>
  </ds:schemaRefs>
</ds:datastoreItem>
</file>

<file path=customXml/itemProps2.xml><?xml version="1.0" encoding="utf-8"?>
<ds:datastoreItem xmlns:ds="http://schemas.openxmlformats.org/officeDocument/2006/customXml" ds:itemID="{80AFCD8F-C117-483B-AB00-DD77C3380F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33cd-131e-4e68-b206-67b15c739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26A1E1-5414-4C03-AD04-ABF7E91DFD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INDICE</vt:lpstr>
      <vt:lpstr>SSL190</vt:lpstr>
      <vt:lpstr>SSL250</vt:lpstr>
      <vt:lpstr>SSL225</vt:lpstr>
      <vt:lpstr>SSL270</vt:lpstr>
      <vt:lpstr>TLT35D</vt:lpstr>
      <vt:lpstr>VM115</vt:lpstr>
      <vt:lpstr>VM116</vt:lpstr>
      <vt:lpstr>1CX</vt:lpstr>
      <vt:lpstr>214</vt:lpstr>
      <vt:lpstr>1400</vt:lpstr>
      <vt:lpstr>3CXGLOBAL</vt:lpstr>
      <vt:lpstr>3CXECO</vt:lpstr>
      <vt:lpstr>3CXECOADVANCE</vt:lpstr>
      <vt:lpstr>THL 540-140</vt:lpstr>
      <vt:lpstr>THL 540-170</vt:lpstr>
      <vt:lpstr>THL 540-170&gt;21</vt:lpstr>
      <vt:lpstr>THL 531-70</vt:lpstr>
      <vt:lpstr>THL 531-70AG</vt:lpstr>
      <vt:lpstr>THL 508</vt:lpstr>
      <vt:lpstr>MINIEXCAVADORA 8030ZTS</vt:lpstr>
      <vt:lpstr>JS200</vt:lpstr>
      <vt:lpstr>JS205LC</vt:lpstr>
      <vt:lpstr>JS205LC&gt;20</vt:lpstr>
      <vt:lpstr>JS205NXT</vt:lpstr>
      <vt:lpstr>JS220LC </vt:lpstr>
      <vt:lpstr>JS220LC&gt;20</vt:lpstr>
      <vt:lpstr>JS305LC</vt:lpstr>
      <vt:lpstr>JS370LC</vt:lpstr>
      <vt:lpstr>437ZX</vt:lpstr>
      <vt:lpstr>455ZX</vt:lpstr>
      <vt:lpstr>JS385</vt:lpstr>
      <vt:lpstr>JS205 FUEL MASTER</vt:lpstr>
      <vt:lpstr>BT 65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alejandro salas</cp:lastModifiedBy>
  <cp:revision/>
  <dcterms:created xsi:type="dcterms:W3CDTF">2018-09-18T23:37:38Z</dcterms:created>
  <dcterms:modified xsi:type="dcterms:W3CDTF">2026-08-24T21:52:00Z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0x0101006413EE7D5E0AC441814350A469584345</vt:lpwstr>
  </property>
</Properties>
</file>